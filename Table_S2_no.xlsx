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Volumes/Poderoso/Github/GlobalAPWP/"/>
    </mc:Choice>
  </mc:AlternateContent>
  <xr:revisionPtr revIDLastSave="0" documentId="13_ncr:1_{78FBAD33-08E9-C74B-8884-C06EF4604134}" xr6:coauthVersionLast="47" xr6:coauthVersionMax="47" xr10:uidLastSave="{00000000-0000-0000-0000-000000000000}"/>
  <bookViews>
    <workbookView xWindow="0" yWindow="0" windowWidth="51200" windowHeight="21600" xr2:uid="{07691D8F-6D0E-EA45-837D-7F0F92C7EDBD}"/>
  </bookViews>
  <sheets>
    <sheet name="Table S2" sheetId="4" r:id="rId1"/>
  </sheets>
  <definedNames>
    <definedName name="_xlnm._FilterDatabase" localSheetId="0">'Table S2'!$A$3:$AH$3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0" i="4" l="1"/>
  <c r="B120" i="4"/>
  <c r="C151" i="4"/>
  <c r="B151" i="4"/>
  <c r="B49" i="4"/>
  <c r="C143" i="4"/>
  <c r="B143" i="4"/>
  <c r="C99" i="4"/>
  <c r="B99" i="4"/>
  <c r="C47" i="4"/>
  <c r="B47" i="4"/>
  <c r="C190" i="4"/>
  <c r="B190" i="4"/>
  <c r="C49" i="4"/>
  <c r="C227" i="4"/>
  <c r="B227" i="4"/>
  <c r="D440" i="4"/>
  <c r="D91" i="4"/>
  <c r="D89" i="4"/>
  <c r="D90" i="4"/>
  <c r="D55" i="4"/>
  <c r="D337" i="4"/>
  <c r="D390" i="4"/>
  <c r="D53" i="4"/>
  <c r="D262" i="4"/>
  <c r="D261" i="4"/>
  <c r="D334" i="4"/>
  <c r="F51" i="4"/>
  <c r="D51" i="4"/>
  <c r="D377" i="4"/>
  <c r="D436" i="4"/>
  <c r="D435" i="4"/>
  <c r="D406" i="4"/>
  <c r="D256" i="4"/>
  <c r="D251" i="4"/>
  <c r="D248" i="4"/>
  <c r="D244" i="4"/>
  <c r="D250" i="4"/>
  <c r="D246" i="4"/>
  <c r="D249" i="4"/>
  <c r="D252" i="4"/>
  <c r="D247" i="4"/>
  <c r="D245" i="4"/>
  <c r="D433" i="4"/>
  <c r="D434" i="4"/>
  <c r="D404" i="4"/>
  <c r="D405" i="4"/>
  <c r="D403" i="4"/>
  <c r="F402" i="4"/>
  <c r="D226" i="4"/>
  <c r="D225" i="4"/>
  <c r="D223" i="4"/>
  <c r="D487" i="4"/>
  <c r="D217" i="4"/>
  <c r="F50" i="4"/>
  <c r="D209" i="4"/>
  <c r="D210" i="4"/>
  <c r="D331" i="4"/>
  <c r="D332" i="4"/>
  <c r="D389" i="4"/>
  <c r="D330" i="4"/>
  <c r="D374" i="4"/>
  <c r="D48" i="4"/>
  <c r="D193" i="4"/>
  <c r="D329" i="4"/>
  <c r="D186" i="4"/>
  <c r="D185" i="4"/>
  <c r="D78" i="4"/>
  <c r="D77" i="4"/>
  <c r="D486" i="4"/>
  <c r="D182" i="4"/>
  <c r="D181" i="4"/>
  <c r="D465" i="4"/>
  <c r="D464" i="4"/>
  <c r="D179" i="4"/>
  <c r="D461" i="4"/>
  <c r="D372" i="4"/>
  <c r="D75" i="4"/>
  <c r="F176" i="4"/>
  <c r="D176" i="4"/>
  <c r="D432" i="4"/>
  <c r="D174" i="4"/>
  <c r="F399" i="4"/>
  <c r="D45" i="4"/>
  <c r="F43" i="4"/>
  <c r="D43" i="4"/>
  <c r="D172" i="4"/>
  <c r="F431" i="4"/>
  <c r="D169" i="4"/>
  <c r="D170" i="4"/>
  <c r="D504" i="4"/>
  <c r="F428" i="4"/>
  <c r="D73" i="4"/>
  <c r="D362" i="4"/>
  <c r="D167" i="4"/>
  <c r="D166" i="4"/>
  <c r="D102" i="4"/>
  <c r="F101" i="4"/>
  <c r="F70" i="4"/>
  <c r="D165" i="4"/>
  <c r="D164" i="4"/>
  <c r="D163" i="4"/>
  <c r="F100" i="4"/>
  <c r="D161" i="4"/>
  <c r="F69" i="4"/>
  <c r="D426" i="4"/>
  <c r="F17" i="4"/>
  <c r="D158" i="4"/>
  <c r="D157" i="4"/>
  <c r="D156" i="4"/>
  <c r="D320" i="4"/>
  <c r="D348" i="4"/>
  <c r="D153" i="4"/>
  <c r="F391" i="4"/>
  <c r="D391" i="4"/>
  <c r="D354" i="4"/>
  <c r="F24" i="4"/>
  <c r="D146" i="4"/>
  <c r="D296" i="4"/>
  <c r="D295" i="4"/>
  <c r="D294" i="4"/>
  <c r="D293" i="4"/>
  <c r="F22" i="4"/>
  <c r="D22" i="4"/>
  <c r="D314" i="4"/>
  <c r="F11" i="4"/>
  <c r="M130" i="4"/>
  <c r="F8" i="4"/>
  <c r="F5" i="4"/>
  <c r="D122" i="4"/>
  <c r="F524" i="4"/>
  <c r="D524" i="4"/>
  <c r="D118" i="4"/>
  <c r="D21" i="4"/>
  <c r="D422" i="4"/>
  <c r="D288" i="4"/>
  <c r="D116" i="4"/>
  <c r="D495" i="4"/>
  <c r="D93" i="4"/>
  <c r="D410" i="4"/>
  <c r="D92" i="4"/>
  <c r="D115" i="4"/>
  <c r="D114" i="4"/>
  <c r="D518" i="4"/>
  <c r="D355" i="4"/>
  <c r="D409" i="4"/>
  <c r="D470" i="4"/>
  <c r="D517" i="4"/>
  <c r="D113" i="4"/>
  <c r="D112" i="4"/>
  <c r="D516" i="4"/>
  <c r="D111" i="4"/>
  <c r="D494" i="4"/>
  <c r="D520" i="4"/>
  <c r="D20" i="4"/>
  <c r="D19" i="4"/>
  <c r="D110" i="4"/>
  <c r="D523" i="4"/>
  <c r="D421" i="4"/>
  <c r="D522" i="4"/>
  <c r="D515" i="4"/>
  <c r="D67" i="4"/>
  <c r="D109" i="4"/>
  <c r="D341" i="4"/>
  <c r="D340" i="4"/>
  <c r="D521" i="4"/>
  <c r="D339" i="4"/>
  <c r="D420" i="4"/>
  <c r="D108" i="4"/>
  <c r="D514" i="4"/>
  <c r="D513" i="4"/>
  <c r="D512" i="4"/>
  <c r="D66" i="4"/>
  <c r="D107" i="4"/>
  <c r="D511" i="4"/>
  <c r="D519" i="4"/>
  <c r="D469" i="4"/>
  <c r="D106" i="4"/>
  <c r="D408" i="4"/>
  <c r="D493" i="4"/>
  <c r="D338" i="4"/>
  <c r="D492" i="4"/>
  <c r="D407" i="4"/>
  <c r="D510" i="4"/>
  <c r="D468" i="4"/>
  <c r="D105" i="4"/>
  <c r="D419" i="4"/>
  <c r="D104" i="4"/>
  <c r="D65" i="4"/>
</calcChain>
</file>

<file path=xl/sharedStrings.xml><?xml version="1.0" encoding="utf-8"?>
<sst xmlns="http://schemas.openxmlformats.org/spreadsheetml/2006/main" count="3581" uniqueCount="1467">
  <si>
    <t>name</t>
  </si>
  <si>
    <t>min_age</t>
  </si>
  <si>
    <t>max_age</t>
  </si>
  <si>
    <t>age</t>
  </si>
  <si>
    <t>slat</t>
  </si>
  <si>
    <t>slon</t>
  </si>
  <si>
    <t>N</t>
  </si>
  <si>
    <t>mDec</t>
  </si>
  <si>
    <t>mInc</t>
  </si>
  <si>
    <t>k</t>
  </si>
  <si>
    <t>alpha95</t>
  </si>
  <si>
    <t>plat</t>
  </si>
  <si>
    <t>plon</t>
  </si>
  <si>
    <t>K</t>
  </si>
  <si>
    <t>A95</t>
  </si>
  <si>
    <t>plateID</t>
  </si>
  <si>
    <t>lithology</t>
  </si>
  <si>
    <t>f</t>
  </si>
  <si>
    <t>p_std</t>
  </si>
  <si>
    <t>refno</t>
  </si>
  <si>
    <t>comments</t>
  </si>
  <si>
    <t>reliability</t>
  </si>
  <si>
    <t>age constraints</t>
  </si>
  <si>
    <t>DB</t>
  </si>
  <si>
    <t>Deenen</t>
  </si>
  <si>
    <t>excl</t>
  </si>
  <si>
    <t>EP_lat</t>
  </si>
  <si>
    <t>EP_lon</t>
  </si>
  <si>
    <t>EP_ang</t>
  </si>
  <si>
    <t>K_est</t>
  </si>
  <si>
    <t>A95_est</t>
  </si>
  <si>
    <t>R</t>
  </si>
  <si>
    <t>PSV10</t>
  </si>
  <si>
    <t>Roperch15</t>
  </si>
  <si>
    <t>Roperch et al. (2015)</t>
  </si>
  <si>
    <t>Dichiara14</t>
  </si>
  <si>
    <t>Di Chiara et al. (2014)</t>
  </si>
  <si>
    <t>Kissel15</t>
  </si>
  <si>
    <t>Kissel et al. (2015)</t>
  </si>
  <si>
    <t>Salis89</t>
  </si>
  <si>
    <t>Salis et al. (1989)</t>
  </si>
  <si>
    <t>Tanaka09</t>
  </si>
  <si>
    <t>Tanaka et al. (2009)</t>
  </si>
  <si>
    <t>Valet98</t>
  </si>
  <si>
    <t>Valet et al. (1998)</t>
  </si>
  <si>
    <t>Chauvin91</t>
  </si>
  <si>
    <t>Chauvin et al. (1991)</t>
  </si>
  <si>
    <t>OlivaUrcia16</t>
  </si>
  <si>
    <t>Oliva-Urcia et al. (2016)</t>
  </si>
  <si>
    <t>Tanaka03</t>
  </si>
  <si>
    <t>Tanaka et al. (2003)</t>
  </si>
  <si>
    <t>Baraldo03</t>
  </si>
  <si>
    <t>Baraldo et al. (2003)</t>
  </si>
  <si>
    <t>Rais96</t>
  </si>
  <si>
    <t>Rais et al. (1996)</t>
  </si>
  <si>
    <t>Laj97</t>
  </si>
  <si>
    <t>Laj et al. (1997)</t>
  </si>
  <si>
    <t>Tanaka97</t>
  </si>
  <si>
    <t>Tanaka et al. (1997)</t>
  </si>
  <si>
    <t>Miki98</t>
  </si>
  <si>
    <t>Miki et al. (1998)</t>
  </si>
  <si>
    <t>Brassert97</t>
  </si>
  <si>
    <t>Brassart et al. (1997)</t>
  </si>
  <si>
    <t>Cromwell13j</t>
  </si>
  <si>
    <t>Cromwell et al. (2013a)</t>
  </si>
  <si>
    <t>Canontapia94</t>
  </si>
  <si>
    <t>Canon-Tapia et al. (1994)</t>
  </si>
  <si>
    <t>Sbarbori09</t>
  </si>
  <si>
    <t>Sbarbori et al. (2009)</t>
  </si>
  <si>
    <t>Herrerobervera07</t>
  </si>
  <si>
    <t>Herrero-Bervera and Valet (2007)</t>
  </si>
  <si>
    <t>Herrerobervera02</t>
  </si>
  <si>
    <t>Herrero-Bervera and Valet (2002)</t>
  </si>
  <si>
    <t>Johnson98</t>
  </si>
  <si>
    <t>Johnson et al. (1998)</t>
  </si>
  <si>
    <t>Brown09</t>
  </si>
  <si>
    <t>Brown et al. (2009)</t>
  </si>
  <si>
    <t>Yamamoto07</t>
  </si>
  <si>
    <t>Yamamoto et al. (2007)</t>
  </si>
  <si>
    <t>Carlut00</t>
  </si>
  <si>
    <t>Carlut et al. (2000)</t>
  </si>
  <si>
    <t>Otake93</t>
  </si>
  <si>
    <t>Otake et al. (1993)</t>
  </si>
  <si>
    <t>Tanaka07</t>
  </si>
  <si>
    <t>Tanaka et al. (2007)</t>
  </si>
  <si>
    <t>Panaiotu13</t>
  </si>
  <si>
    <t>Panaiotu et al. (2013)</t>
  </si>
  <si>
    <t>Quidelleru09</t>
  </si>
  <si>
    <t>Quidelleur et al. (2009)</t>
  </si>
  <si>
    <t>Herrerobervera00</t>
  </si>
  <si>
    <t>Herrero-Bervera et al. (2000)</t>
  </si>
  <si>
    <t>Cromwell13b</t>
  </si>
  <si>
    <t>Cromwell et al. (2013b)</t>
  </si>
  <si>
    <t>Tauxe00</t>
  </si>
  <si>
    <t>Tauxe et al. (2000)</t>
  </si>
  <si>
    <t>Tanty15</t>
  </si>
  <si>
    <t>Tanty et al. (2015)</t>
  </si>
  <si>
    <t>Goguitchaichvili00</t>
  </si>
  <si>
    <t>Goguitchaichvili et al. (2000)</t>
  </si>
  <si>
    <t>SanchezDuque16</t>
  </si>
  <si>
    <t>Sanchez-Duque et al. (2016)</t>
  </si>
  <si>
    <t>Opdyke06</t>
  </si>
  <si>
    <t>Opdyke et al. (2006)</t>
  </si>
  <si>
    <t>Kent10</t>
  </si>
  <si>
    <t>Kent et al. (2010)</t>
  </si>
  <si>
    <t>Camps01</t>
  </si>
  <si>
    <t>Camps et al. (2001)</t>
  </si>
  <si>
    <t>Calvorathert13b</t>
  </si>
  <si>
    <t>Calvo-Rathert et al. (2013b)</t>
  </si>
  <si>
    <t>Herrerobervera03</t>
  </si>
  <si>
    <t>Herrero-Bervera and Valet (2003)</t>
  </si>
  <si>
    <t>Calvorathert11</t>
  </si>
  <si>
    <t>Calvo-Rathert et al. (2011)</t>
  </si>
  <si>
    <t>Panaiotu12</t>
  </si>
  <si>
    <t>Panaiotu et al. (2012)</t>
  </si>
  <si>
    <t>Yamamoto02</t>
  </si>
  <si>
    <t>Yamamoto et al. (2002)</t>
  </si>
  <si>
    <t>Opdyke04</t>
  </si>
  <si>
    <t>Opdyke and Musgrave (2004)</t>
  </si>
  <si>
    <t>Opdyke10mk</t>
  </si>
  <si>
    <t>Opdyke et al. (2010)</t>
  </si>
  <si>
    <t>Opdyke15</t>
  </si>
  <si>
    <t>Opdyke et al. (2015)</t>
  </si>
  <si>
    <t>Laj99</t>
  </si>
  <si>
    <t>Laj et al. (1999)</t>
  </si>
  <si>
    <t>Elmaleh04</t>
  </si>
  <si>
    <t>Elmaleh et al. (2004)</t>
  </si>
  <si>
    <t>Calvorathert13a</t>
  </si>
  <si>
    <t>Calvo-Rathert et al. (2013a)</t>
  </si>
  <si>
    <t>Brown04</t>
  </si>
  <si>
    <t>Brown et al. (2004)</t>
  </si>
  <si>
    <t>Opdyke10l</t>
  </si>
  <si>
    <t>Mejia04</t>
  </si>
  <si>
    <t>Mejia et al. (2004)</t>
  </si>
  <si>
    <t>Lawrence09</t>
  </si>
  <si>
    <t>Lawrence et al. (2009)</t>
  </si>
  <si>
    <t>Cromwell13s</t>
  </si>
  <si>
    <t>Calvorathert09</t>
  </si>
  <si>
    <t>Calvo-Rathert et al. (2009)</t>
  </si>
  <si>
    <t>Leonhardt06</t>
  </si>
  <si>
    <t>Leonhardt and Stoffel (2006)</t>
  </si>
  <si>
    <t>Leonhardt03</t>
  </si>
  <si>
    <t>Leonhardt et al. (2003)</t>
  </si>
  <si>
    <t>Riisager et al. (2000)</t>
  </si>
  <si>
    <t>Prado section, Teruel, Spain</t>
  </si>
  <si>
    <t>Abels et al. (2009)</t>
  </si>
  <si>
    <t>E/I correction applied to individual directions provided by authors</t>
  </si>
  <si>
    <t>T12</t>
  </si>
  <si>
    <t>A</t>
  </si>
  <si>
    <t>Cascante, Spain</t>
  </si>
  <si>
    <t>Abdul Aziz et al. (2004)</t>
  </si>
  <si>
    <t>Magnetostratigraphy: ca. 9.4 to 10.6 Ma</t>
  </si>
  <si>
    <t>B</t>
  </si>
  <si>
    <t>Velay Oriental volcanics</t>
  </si>
  <si>
    <t>Ar/Ar ages of 9.2 to 13.55 Ma</t>
  </si>
  <si>
    <t>Ngorora Formation, Kenya</t>
  </si>
  <si>
    <t>Deino et al. (1990)</t>
  </si>
  <si>
    <t>50 N and 54 R sites of 3 samples</t>
  </si>
  <si>
    <t>Ar/Ar ages of 10.51 to 13.19 Ma</t>
  </si>
  <si>
    <t>Volcanics, Jebel Soda, Libya</t>
  </si>
  <si>
    <t>Ade-Hall et al. (1975)</t>
  </si>
  <si>
    <t>K-Ar ages of 10.5 to 12.3 Ma</t>
  </si>
  <si>
    <t>Schult and Soffel (1973)</t>
  </si>
  <si>
    <t>K-Ar ages of 10.5 to 12.3 Ma (from paper above)</t>
  </si>
  <si>
    <t>Magnetostratigraphy</t>
  </si>
  <si>
    <t>sed</t>
  </si>
  <si>
    <t>Orera, Spain</t>
  </si>
  <si>
    <t>Abdul Aziz et al. (2000)</t>
  </si>
  <si>
    <t>East African volcanics, Kenya and Tanzania</t>
  </si>
  <si>
    <t>Reilly et al. (1976)</t>
  </si>
  <si>
    <t>ages reported 13-11 Ma (other source)</t>
  </si>
  <si>
    <t>Taatsyn Gol 3, Mongolia</t>
  </si>
  <si>
    <t>Hankard et al. (2007a)</t>
  </si>
  <si>
    <t>Ar/Ar age of 12.7 ± 0.6 by Höck et al. (1999)</t>
  </si>
  <si>
    <t>Ethiopian traps, Debre Sina</t>
  </si>
  <si>
    <t>Miocene volcanics, Canary Islands</t>
  </si>
  <si>
    <t>Watkins (1973)</t>
  </si>
  <si>
    <t>K-Ar ages of 5.3 to 20.6 Ma</t>
  </si>
  <si>
    <t>Massif de Cavallo, Algeria</t>
  </si>
  <si>
    <t>Bobier and Robin (1969)</t>
  </si>
  <si>
    <t>Blue Clay Formation, Malta</t>
  </si>
  <si>
    <t>Abels et al. (2005)</t>
  </si>
  <si>
    <t>Volcanics, Kenya</t>
  </si>
  <si>
    <t>Patel and Raja (1979)</t>
  </si>
  <si>
    <t>K-Ar ages of 12-15 Ma</t>
  </si>
  <si>
    <t>Padre Miguel Ignimbrite Suite, Honduras</t>
  </si>
  <si>
    <t>Molina-Garza et al. (2012)</t>
  </si>
  <si>
    <t>40Ar/39Ar ages</t>
  </si>
  <si>
    <t>Hongshiya</t>
  </si>
  <si>
    <t>Leucitite</t>
  </si>
  <si>
    <t>Hansma and Tohver (2018)</t>
  </si>
  <si>
    <t>Recognition of magnetic chrons C5Cr–C4Ar.1r (Hansma and Tohver, 2018)</t>
  </si>
  <si>
    <t>Trosky volcano, Czech Republic</t>
  </si>
  <si>
    <t>Petronis et al. (2015)</t>
  </si>
  <si>
    <t>K-Ar age of 16.49 ± 0.79 Ma by Rapprich et al. (2007)</t>
  </si>
  <si>
    <t>Turkana Lavas, Kenya</t>
  </si>
  <si>
    <t>Turner et al. (2007)</t>
  </si>
  <si>
    <t>Volcanics, Syria</t>
  </si>
  <si>
    <t>Abou Deeb et al. (1999); Abou Deeb and Tarling (2005)</t>
  </si>
  <si>
    <t>Hannuoba</t>
  </si>
  <si>
    <t>K-Ar dating</t>
  </si>
  <si>
    <t>Ust-Bokson, Mongolia</t>
  </si>
  <si>
    <t>ArAr ages of 19.9 ± 0.2 and 19.8 ± 0.2 by Rasskazov et al. (2000)</t>
  </si>
  <si>
    <t>Idnurm (1985)</t>
  </si>
  <si>
    <t>Jining</t>
  </si>
  <si>
    <t>K-Ar dating by later studies</t>
  </si>
  <si>
    <t>Suhindol volcanics</t>
  </si>
  <si>
    <t>van Hinsbergen et al. (2008a)</t>
  </si>
  <si>
    <t>K-Ar ages of Yanev et al. (1993)</t>
  </si>
  <si>
    <t>Pingzhuang</t>
  </si>
  <si>
    <t>Ib-Fuencalderas</t>
  </si>
  <si>
    <t>C</t>
  </si>
  <si>
    <t>Main Range Volcano and Tweed Volcano</t>
  </si>
  <si>
    <t>Wellman (1975)</t>
  </si>
  <si>
    <t>Volcanics Germany</t>
  </si>
  <si>
    <t>Schreiber and Rotsch (1998)</t>
  </si>
  <si>
    <t>Zhangjiakou</t>
  </si>
  <si>
    <t>mixed</t>
  </si>
  <si>
    <t>mix</t>
  </si>
  <si>
    <t>Kerguelen islands (Antarctic Plate)</t>
  </si>
  <si>
    <t>Camps et al. (2007)</t>
  </si>
  <si>
    <t>Ar/Ar ages and magnetostratigraphic correlation</t>
  </si>
  <si>
    <t>Chifeng</t>
  </si>
  <si>
    <t>Springsure Volcano</t>
  </si>
  <si>
    <t>Hansma and Tohver (2019)</t>
  </si>
  <si>
    <t>Supersedes McElhinny et al. (1974)</t>
  </si>
  <si>
    <t>40Ar/39Ar sanidine total fusion age (Cohen, Knesel et al., 2013)</t>
  </si>
  <si>
    <t>Qatrani Formation, Egypt</t>
  </si>
  <si>
    <t>Abdeldayem (1999)</t>
  </si>
  <si>
    <t>Afro-Arabian ﬂood volcanic province, Yemen</t>
  </si>
  <si>
    <t>Riisager et al. (2005)</t>
  </si>
  <si>
    <t>Ar/Ar ages of 27.67±0.12 to 30.51±0.36 Ma; age range of volcanism given by authors as 27-31 Ma</t>
  </si>
  <si>
    <t>Peak Range</t>
  </si>
  <si>
    <t>40Ar/39Ar total fusion ages: 30.6±0.4 Ma (biotite), 30.4±0.5 Ma (feldspar), 29.0±0.4 Ma (anorthoclase), 28.6±0.4 Ma (groundmass) from Cohen,Knesel et al. (2013)</t>
  </si>
  <si>
    <t>Taatsyn Gol 1-2, Mongolia</t>
  </si>
  <si>
    <t>Ar/Ar ages of 28.0 ± 0.8 and 31.5 ± 0.7 by Höck et al. (1999)</t>
  </si>
  <si>
    <t>Ethiopian traps, Belessa</t>
  </si>
  <si>
    <t>K-Ar, magnetostratigraphy</t>
  </si>
  <si>
    <t>Lima Limo section, Ethiopian Traps</t>
  </si>
  <si>
    <t>Ahn et al. (2021)</t>
  </si>
  <si>
    <t>Ethiopian Flood basalts, Abbay and Kessen gorges, Ethiopia</t>
  </si>
  <si>
    <t>Kidane et al. (2002)</t>
  </si>
  <si>
    <t>Ar/Ar age of 29.6±0.1 Ma; age in table is given as 30±1 Ma, consistent with Rochette et al. (1998)</t>
  </si>
  <si>
    <t>Ethiopian Traps, Ethiopia</t>
  </si>
  <si>
    <t>Rochette et al. (1998)</t>
  </si>
  <si>
    <t>Ar/Ar ages of ca. 30 Ma</t>
  </si>
  <si>
    <t>Mongolia, Jaran Plateau and Bogd Plateaus</t>
  </si>
  <si>
    <t>Hillsborough Volcano</t>
  </si>
  <si>
    <t>40Ar/39 Ar K-feldspar ideogram age of 33.6±0.5 Ma (Cohen, Knesel et al., 2013)</t>
  </si>
  <si>
    <t>Liverpool Volcano</t>
  </si>
  <si>
    <t>Average of K–Ar whole rock ages gives 33.7±0.7 Ma (Wellman et al., 1969)</t>
  </si>
  <si>
    <t>Hocheifel volcanics</t>
  </si>
  <si>
    <t>Weinreich and Bleil (1984)</t>
  </si>
  <si>
    <t>K-Ar ages from 23 to 45 Ma</t>
  </si>
  <si>
    <t>Southern Plateau volcanics, Ethiopia</t>
  </si>
  <si>
    <t>Schult (1974)</t>
  </si>
  <si>
    <t xml:space="preserve">K-Ar ages  </t>
  </si>
  <si>
    <t>Ib-Sanmarzal</t>
  </si>
  <si>
    <t>Iron ores combined, Baharia Oasis, Egypt</t>
  </si>
  <si>
    <t>Schult et al. (1981)</t>
  </si>
  <si>
    <t>Stratigraphic age</t>
  </si>
  <si>
    <t>Fayum Province, Egypt</t>
  </si>
  <si>
    <t>Lotfy and van der Voo (2007)</t>
  </si>
  <si>
    <t>Talerua Member lavas</t>
  </si>
  <si>
    <t>Schmidt et al. (2005)</t>
  </si>
  <si>
    <t>Ar/Ar age of 38.8±0.5 Ma, we assign age uncertainty of 1 Myr</t>
  </si>
  <si>
    <t>Mongolia, Khaton Sudal</t>
  </si>
  <si>
    <t>Hankard et al. (2007)</t>
  </si>
  <si>
    <t>Khaton Sudal, Mongolia</t>
  </si>
  <si>
    <t>K-Ar age of 39.4 ± 0.6 Ma by Hankard et al. (2007a)</t>
  </si>
  <si>
    <t>Mokattam limestone, Egypt</t>
  </si>
  <si>
    <t>Basalts, Wadi Abu Tereiﬁya, Egypt</t>
  </si>
  <si>
    <t>Hussain et al. (1979)</t>
  </si>
  <si>
    <t>Eocene volcanics Patagonia</t>
  </si>
  <si>
    <t>Somoza (2007)</t>
  </si>
  <si>
    <t>Butler et al. (1991) give age range of 56-42 Ma, isotopic ages given in paper within this range</t>
  </si>
  <si>
    <t>K/Ar Age for President Head sill given by Pankhurst and Smellie, 1983</t>
  </si>
  <si>
    <t>Lower Palaeogene mudstone</t>
  </si>
  <si>
    <t>Ali et al. (2003)</t>
  </si>
  <si>
    <t>Wellman et al. (1969)</t>
  </si>
  <si>
    <t>Nuussuaq lavas, Kanisut Member</t>
  </si>
  <si>
    <t>Riisager et al. (2003b)</t>
  </si>
  <si>
    <t>South Shetland Islands</t>
  </si>
  <si>
    <t>Ar/Ar ages in this paper</t>
  </si>
  <si>
    <t>Kangerdlugsuaq dykes, Irminger</t>
  </si>
  <si>
    <t>Faller and Soper (1979)</t>
  </si>
  <si>
    <t>Scoresby Sund lavas</t>
  </si>
  <si>
    <t>Tarling (1967)</t>
  </si>
  <si>
    <t>Skaergaard Intrusion</t>
  </si>
  <si>
    <t>Schwarz et al. (1979)</t>
  </si>
  <si>
    <t>Svartenhuk dykes</t>
  </si>
  <si>
    <t>Chauvet et al. (2019)</t>
  </si>
  <si>
    <t>Original orientation of the dykes assumed to be vertical</t>
  </si>
  <si>
    <t>7 of 8 dikes with k&gt;50</t>
  </si>
  <si>
    <t>Kangerdlugssuaq Lavas</t>
  </si>
  <si>
    <t>Faller (1975)</t>
  </si>
  <si>
    <t>Khuts Uul, Mongolia</t>
  </si>
  <si>
    <t>Hankard et al. (2008)</t>
  </si>
  <si>
    <t>K-Ar age of 57.1 ± 0.8 (Hankard et al. 2008)</t>
  </si>
  <si>
    <t>Svartenhuk lavas</t>
  </si>
  <si>
    <t>Vaternish dyke swarm, Scotland</t>
  </si>
  <si>
    <t>Wilson et al. (1974)</t>
  </si>
  <si>
    <t>Jacobsen Fjord dykes</t>
  </si>
  <si>
    <t>Lundy island dikes, Wales</t>
  </si>
  <si>
    <t>Mussett et al. (1976)</t>
  </si>
  <si>
    <t>East Gilf Kebir Plateau basalts</t>
  </si>
  <si>
    <t>Lotfy and Odah (2015)</t>
  </si>
  <si>
    <t>59±1.7 Ma K-Ar whole rock age</t>
  </si>
  <si>
    <t>Arran dikes, Scotland</t>
  </si>
  <si>
    <t>Dagley et al. (1978)</t>
  </si>
  <si>
    <t>Jacobsen Fjord basalts</t>
  </si>
  <si>
    <t>Arran intrusives and extrusives</t>
  </si>
  <si>
    <t>Hodgson et al. (1990)</t>
  </si>
  <si>
    <t>Sleat dikes, Scotland</t>
  </si>
  <si>
    <t>Wilson et al. (1982)</t>
  </si>
  <si>
    <t>Sky lavas, Scotland</t>
  </si>
  <si>
    <t>S. Rousse (Pers. Comm. 2011)</t>
  </si>
  <si>
    <t>Ardnamurchan complex, Scotland</t>
  </si>
  <si>
    <t>Dagley et al. (1984)</t>
  </si>
  <si>
    <t>Faeroe ﬂood volcanics</t>
  </si>
  <si>
    <t>Riisager et al. (2002)</t>
  </si>
  <si>
    <t>Disko Island lavas combined</t>
  </si>
  <si>
    <t>Athavale and Sharma (1975)</t>
  </si>
  <si>
    <t>Svartenhuk lavas, Vaigat Formation</t>
  </si>
  <si>
    <t>Nuusuaq and Disko lavas, Vaigat Formation</t>
  </si>
  <si>
    <t>Riisager et al. (2003a)</t>
  </si>
  <si>
    <t>Chijiang</t>
  </si>
  <si>
    <t>Clyde et al., 2008</t>
  </si>
  <si>
    <t>Rhum and Canna igneous, Scotland</t>
  </si>
  <si>
    <t>Dagley and Mussett (1981)</t>
  </si>
  <si>
    <t>Mull lavas, Scotland</t>
  </si>
  <si>
    <t>Ganerød et al. (2008)</t>
  </si>
  <si>
    <t xml:space="preserve">Torris, Snow, Half Moon, King George, Admirality lavas and intrusions
</t>
  </si>
  <si>
    <t>Paleocene age assigned in paper</t>
  </si>
  <si>
    <t>Antrim Lava, Ireland</t>
  </si>
  <si>
    <t>Ganerød et al. (2010)</t>
  </si>
  <si>
    <t>Muck and Eigg igneous</t>
  </si>
  <si>
    <t>Dagley and Mussett (1986)</t>
  </si>
  <si>
    <t>Sumber Uul - Tulga, Mongolia</t>
  </si>
  <si>
    <t>Average K-Ar ages of 62.1 ± 5.9 (Hankard et al. 2008)</t>
  </si>
  <si>
    <t>Mount Pavagarh Traps, Gujrat, India</t>
  </si>
  <si>
    <t>Verma and Mital (1974)</t>
  </si>
  <si>
    <t>Mahabeleshwar Plateau lavas</t>
  </si>
  <si>
    <t>Jay et al. (2009)</t>
  </si>
  <si>
    <t>Ambenali Ghat, Mahabeleshwar Plateau, India</t>
  </si>
  <si>
    <t>Age range of Deccan Traps</t>
  </si>
  <si>
    <t>Tapola, Mahabeleshwar Plateau, India</t>
  </si>
  <si>
    <t>Kelgar, Mahabeleshwar Plateau, India</t>
  </si>
  <si>
    <t>Wai-Panchgani, Mahabeleshwar Plateau, India</t>
  </si>
  <si>
    <t>Khumbarli Ghat, Mahabeleshwar Plateau, India</t>
  </si>
  <si>
    <t>Varandah Ghat, Mahabeleshwar Plateau, India</t>
  </si>
  <si>
    <t>Matheran Ghat, Mahabeleshwar Plateau, India</t>
  </si>
  <si>
    <t>Deccan Volcanic Sequence</t>
  </si>
  <si>
    <t>Basavaiah et al. (2018)</t>
  </si>
  <si>
    <t>Rio de Los Molinos dykes 1, Cordoba, Argentina</t>
  </si>
  <si>
    <t>Linares and Valencio (1975)</t>
  </si>
  <si>
    <t>Deccan Traps, Mahabaleshwar, India</t>
  </si>
  <si>
    <t>Kono et al. (1972)</t>
  </si>
  <si>
    <t>VGP differs from study and GPDB</t>
  </si>
  <si>
    <t>Deccan Traps, Nagpur to Bombay traverse, India</t>
  </si>
  <si>
    <t>Vandamme et al. (1991)</t>
  </si>
  <si>
    <t>Deccan Traps, Western Ghats, India</t>
  </si>
  <si>
    <t>Wensink and Klootwijk (1971)</t>
  </si>
  <si>
    <t>90 flows are reported from different localities, but mean pole computed from 5 locality means</t>
  </si>
  <si>
    <t>Deccan dyke swarms, western India</t>
  </si>
  <si>
    <t>Deccan Traps, Jalna, India</t>
  </si>
  <si>
    <t>Pal and Bhimasankaram (1971)</t>
  </si>
  <si>
    <t>Nandurbar-Dhule dykes, India</t>
  </si>
  <si>
    <t>40Ar/39Ar ages of 63.4±0.4 Ma to 67.5±0.9 Ma (Sheth et al. 2019)</t>
  </si>
  <si>
    <t>Western Ghats, Deccan Traps, India</t>
  </si>
  <si>
    <t>Chenet et al. (2009)</t>
  </si>
  <si>
    <t>Cerro Buitre Norte section, Argentina</t>
  </si>
  <si>
    <t>Clyde et al. (2021)</t>
  </si>
  <si>
    <t>Late Cretaceous mafic dikes in Kerala</t>
  </si>
  <si>
    <t>Aix-en-Provence, France</t>
  </si>
  <si>
    <t>Cojan and Moreau (2006)</t>
  </si>
  <si>
    <t>Central Kerala dykes, India</t>
  </si>
  <si>
    <t>Radhakrishna et al. (1994)</t>
  </si>
  <si>
    <t>Itatiaia and Passa Quatro Complexes, Brazil</t>
  </si>
  <si>
    <t>Montes-Lauar et al. (1995)</t>
  </si>
  <si>
    <t>2 of 18 sites with k&lt;50</t>
  </si>
  <si>
    <t>K-Ar ages from 10 biotites is 70.5±3.3 Ma, whole rock age for Passa Quatro complex is 70.4±0.5 Ma; differs from GPDB (72 Ma)</t>
  </si>
  <si>
    <t>Patagonian Plateau basalts, Chile, Argentina</t>
  </si>
  <si>
    <t>Butler et al. (1991)</t>
  </si>
  <si>
    <t>K-Ar ages of 64.2±2.6 Ma to 79.1±4.7 Ma (this paper)</t>
  </si>
  <si>
    <t>Lisbon Basalts 1971, Portugal</t>
  </si>
  <si>
    <t>Lisbon Basalts 1969, Portugal</t>
  </si>
  <si>
    <t>Monchique Syenite I</t>
  </si>
  <si>
    <t>Monchique Syenite II</t>
  </si>
  <si>
    <t>Aix-en-Provence sediments, France</t>
  </si>
  <si>
    <t>Westphal and Durand (1989)</t>
  </si>
  <si>
    <t>Campanian-Danian ages</t>
  </si>
  <si>
    <t>Nizhnyaya Bannovka, Russia</t>
  </si>
  <si>
    <t>Guzhikov et al. (2017)</t>
  </si>
  <si>
    <t>Magnetostratigraphy (Chrons 33n to 30n)</t>
  </si>
  <si>
    <t>Sines Massif</t>
  </si>
  <si>
    <t>Ribeiro et al. (2013)</t>
  </si>
  <si>
    <t>U/Pb zircon ages of 75.4±0.6 and 76.1±1.3 Ma</t>
  </si>
  <si>
    <t>Minusa trough intrusions, Siberia</t>
  </si>
  <si>
    <t>Metelkin et al. (2007)</t>
  </si>
  <si>
    <t>9 Ar/Ar ages of 74 to 79 Ma</t>
  </si>
  <si>
    <t>Sao Sabastiao Island Intrusions, Brazil</t>
  </si>
  <si>
    <t>1 of 18 sites only 1 sample, 1 of 17 k&lt;50</t>
  </si>
  <si>
    <t>80.8±3.1 Ma Rb-Sr age (from paper), K-Ar ages of 77.6±7.8-82.8±6.2 Ma for the dykes, and 84.0±2.2 Ma biotite K-Ar age</t>
  </si>
  <si>
    <t>Wadi-Natash, Egypt</t>
  </si>
  <si>
    <t>Lofty (2011)</t>
  </si>
  <si>
    <t>Upper Cretaceous age assignment, ~83 Ma. One published ArAr age of the volcanics mentioned</t>
  </si>
  <si>
    <t>Basalt Series I, Canary Islands</t>
  </si>
  <si>
    <t>Storetvedt et al. (1979)</t>
  </si>
  <si>
    <t>Late Cretaceous, but Storetvedt (1980) shows approx. 70 Ma age</t>
  </si>
  <si>
    <t>Pocos de Caldas Alkaline Complex, Brazil</t>
  </si>
  <si>
    <t>11 of 47 sites are based on 1 sample only; 2 of 36 have k&lt;50</t>
  </si>
  <si>
    <t>Rb-Sr ages from 77.9±3.1 Ma to 89.8±2.8 Ma</t>
  </si>
  <si>
    <t>Dagestan limestones, Caucasus</t>
  </si>
  <si>
    <t>Bazhenov and Burtman (1990)</t>
  </si>
  <si>
    <t>Antanimena and Mailaka volcanics</t>
  </si>
  <si>
    <t>Riisager et al. (2001)</t>
  </si>
  <si>
    <t>Ar/Ar ages of 83.7 to 90.1 Ma</t>
  </si>
  <si>
    <t>Volcanics, Massif d'Androy Andria</t>
  </si>
  <si>
    <t>Andriamirado and Roche (1969)</t>
  </si>
  <si>
    <t>Volcanics, Antanimena Andria</t>
  </si>
  <si>
    <t>Andriamirado (1971)</t>
  </si>
  <si>
    <t>Volcanics, Southeast Coast Andria</t>
  </si>
  <si>
    <t>Volcanics, Mangoky–Anilahy Andria</t>
  </si>
  <si>
    <t>Dolerites, east Madagascar</t>
  </si>
  <si>
    <t>Storetvedt et al. (1992)</t>
  </si>
  <si>
    <t>Volcanics, Mailaka Andria</t>
  </si>
  <si>
    <t>Volcanics, Southwest Madagascar</t>
  </si>
  <si>
    <t>Torsvik et al. (1998)</t>
  </si>
  <si>
    <t>3 localities with 41 samples</t>
  </si>
  <si>
    <t>Ar/Ar ages of ca. 84 to 90 Ma</t>
  </si>
  <si>
    <t>Central Kerala gabbro dyke, India</t>
  </si>
  <si>
    <t>Yongtai</t>
  </si>
  <si>
    <t>Munsterland Turonian, Germany</t>
  </si>
  <si>
    <t>Kerth (1987)</t>
  </si>
  <si>
    <t>Cretaceous Kimberlites 1, South Africa, Lesotho</t>
  </si>
  <si>
    <t>Hargraves (1989)</t>
  </si>
  <si>
    <t>U-Pb and Rb-Sr ages from 81 to 100 Ma</t>
  </si>
  <si>
    <t>St. Mary Islands, western India</t>
  </si>
  <si>
    <t>Torsvik et al. (2000)</t>
  </si>
  <si>
    <t>U/Pb age of 91.2±0.2 Ma</t>
  </si>
  <si>
    <t>San Bernardo, Patagonia</t>
  </si>
  <si>
    <t>Somoza and Zaffarana (2008)</t>
  </si>
  <si>
    <t>Ar/Ar ages of tuffs in formation from 85.1 to 97.9 Ma</t>
  </si>
  <si>
    <t>d'Analava complex</t>
  </si>
  <si>
    <t>Meert and Tamrat (2006)</t>
  </si>
  <si>
    <t>U/Pb age of Torsvik et al. (1998)</t>
  </si>
  <si>
    <t>Turonian (biostratigraphy)</t>
  </si>
  <si>
    <t>Amma Fatma section, Morocco</t>
  </si>
  <si>
    <t>Ruiz-Martinez et al. (2011)</t>
  </si>
  <si>
    <t>E/I correction applied to directions provided by authors</t>
  </si>
  <si>
    <t>Intrusives, Cabo de Santo Agostinho, Brazil</t>
  </si>
  <si>
    <t>Schult and Guerreiro (1980)</t>
  </si>
  <si>
    <t>K-Ar ages of 85 to 99 Ma</t>
  </si>
  <si>
    <t>Wadi Natash volcanics, Egypt</t>
  </si>
  <si>
    <t>K-Ar ages between 86 and 100 Ma</t>
  </si>
  <si>
    <t>Khurmun Uul - Shovon basalts, Mongolia</t>
  </si>
  <si>
    <t>Hankard et al. (2007b)</t>
  </si>
  <si>
    <t>Average Ar/Ar age of 93.4  ± 2.6 (Hankard et al. 2007b)</t>
  </si>
  <si>
    <t>Mount Dromedary Intrusion</t>
  </si>
  <si>
    <t>Robertson (1963)</t>
  </si>
  <si>
    <t>Average of K–Ar ages of 94±2 Ma calculated by McDougall and Wellman (1976), based on K–Ar ages of Everden and Richards (1962), McDougall and Roksandric (1974) and McDougall and Wellman (1976)</t>
  </si>
  <si>
    <t>Ressetar et al. (1981)</t>
  </si>
  <si>
    <t>K-Ar ages between 78 and 86 Ma, Rb-Sr age of 104±7 Ma</t>
  </si>
  <si>
    <t>Munster Basin limestone</t>
  </si>
  <si>
    <t>Heller and Channell (1979)</t>
  </si>
  <si>
    <t>Pirgua basalts and red beds, Argentina</t>
  </si>
  <si>
    <t>Valencio et al. (1977)</t>
  </si>
  <si>
    <t>9 sandstone sites and 5 basalt sites (2 k&lt;50)</t>
  </si>
  <si>
    <t>K-Ar ages of 77±1 to 114±5 Ma</t>
  </si>
  <si>
    <t>Tsost Magmatic Field, Mongolia</t>
  </si>
  <si>
    <t>van Hinsbergen et al. (2008b)</t>
  </si>
  <si>
    <t>Ar/Ar ages of 94.7 ± 1.3 and 107 ± 1.0 (Barry, 1999 and Hankard et al. 2007b)</t>
  </si>
  <si>
    <t>Cabo Magmatic Province, Brazil</t>
  </si>
  <si>
    <t>Font et al. (2009)</t>
  </si>
  <si>
    <t>Zircon fission track, Ar/Ar age of 102±1 Ma</t>
  </si>
  <si>
    <t>Arts-Bogd basalts, Mongolia</t>
  </si>
  <si>
    <t>Average Ar/Ar age of 104.6 ± 6.6 (Hankard et al. 2007b)</t>
  </si>
  <si>
    <t>Mongolia/Siberia Cretaceous Volcanics</t>
  </si>
  <si>
    <t>van Hinsbergen et al. (2008)</t>
  </si>
  <si>
    <t>Lupata series volcanics, Mozambique</t>
  </si>
  <si>
    <t>Gough and Opdyke (1963)</t>
  </si>
  <si>
    <t>K-Ar ages from refno 293 between 109-113, the paper gives it a minimum age</t>
  </si>
  <si>
    <t>Suhongtu</t>
  </si>
  <si>
    <t>Otway Group sediments</t>
  </si>
  <si>
    <t>Statigraphic position between dertrital volcanic products with fission track ages (on unknown mineralogy) of 126–103 Ma (Gleadow and Duddy, 1980) suggests age of 115–110 Ma</t>
  </si>
  <si>
    <t>Cretaceous Lamproites</t>
  </si>
  <si>
    <t>Radhakrishna et al. (2017)</t>
  </si>
  <si>
    <t>40Ar/39Ar ages from 109.1±0.7 to 116.6±0.8 Ma</t>
  </si>
  <si>
    <t>Cerro Barcino sediments, Argentina</t>
  </si>
  <si>
    <t>Geuna et al. (2000)</t>
  </si>
  <si>
    <t>Jurassic pole (not included here) is rotated 25 degrees. Cretaceous sites all have k&gt;100</t>
  </si>
  <si>
    <t>Rajmahal Traps, West Bengal and Bihar, India</t>
  </si>
  <si>
    <t>Rajmahal Traps, Bihar, India</t>
  </si>
  <si>
    <t>Klootwijk (1971)</t>
  </si>
  <si>
    <t>Rajmahal Traps, West Bengal, India</t>
  </si>
  <si>
    <t>Das et al. (1996)</t>
  </si>
  <si>
    <t>Rajamahal Traps, North Rajmahal Hills, India</t>
  </si>
  <si>
    <t>Tarduno et al. (2001)</t>
  </si>
  <si>
    <t>Hongyan</t>
  </si>
  <si>
    <t>U/Pb and Ar-Ar</t>
  </si>
  <si>
    <t>Sylhet Traps, Khasi Hills, India</t>
  </si>
  <si>
    <t>Athavale et al. (1963)</t>
  </si>
  <si>
    <t>Based on 25 interpreted directions from 15 miles of roadcuts, No K is calculated.</t>
  </si>
  <si>
    <t>Rao and Rao (1996)</t>
  </si>
  <si>
    <t>Rajmahal basalts, India</t>
  </si>
  <si>
    <t>Kapawar and Mamilla (2020)</t>
  </si>
  <si>
    <t>South-East Artz Bogd, Mongolia</t>
  </si>
  <si>
    <t>Ar/Ar ages of 115.4 ± 0.4 - 119.3 ± 0.4 (Barry, 1999)</t>
  </si>
  <si>
    <t>East Maranhao intrusives, Brazil</t>
  </si>
  <si>
    <t>Schult and Guerreiro (1979)</t>
  </si>
  <si>
    <t>K-Ar ages of 8 samples: 118 ± 6 Ma</t>
  </si>
  <si>
    <t>Weideshan</t>
  </si>
  <si>
    <t>Intrusives, Beni Mellal, Morocco</t>
  </si>
  <si>
    <t>Westphal et al. (1979)</t>
  </si>
  <si>
    <t>Published results are not tilt corrected</t>
  </si>
  <si>
    <t>K-Ar ages 110-128 Ma</t>
  </si>
  <si>
    <t>Jianchang</t>
  </si>
  <si>
    <t>Zhuangchengzi</t>
  </si>
  <si>
    <t>Vulcanitas Cerro Colorado Formation, Cordoba, Argentina</t>
  </si>
  <si>
    <t>Valencio (1972)</t>
  </si>
  <si>
    <t>K-Ar age of 121±6 Ma</t>
  </si>
  <si>
    <t>South-East ih Bogd, Mongolia</t>
  </si>
  <si>
    <t>Ar/Ar ages of 118.2 ± 0.8 to 124.3 ± 0.9</t>
  </si>
  <si>
    <t>Florianopolis dyke swarm, Santa Catarina Island, Brazil</t>
  </si>
  <si>
    <t>Raposo et al. (1998)</t>
  </si>
  <si>
    <t>5 plateau 40Ar/39Ar ages of 119.0-128.3 Ma</t>
  </si>
  <si>
    <t>South-East Baga Bogd, Mongolia</t>
  </si>
  <si>
    <t>Ar/Ar ages of 122.7 ± 0.8 to 124.7 ± 0.8</t>
  </si>
  <si>
    <t>El Salto–Almafuerte lavas, Cordoba, Argentina</t>
  </si>
  <si>
    <t>Mendia (1978)</t>
  </si>
  <si>
    <t>K-Ar ages of 119-129 Ma</t>
  </si>
  <si>
    <t>Mlanje Massif syenite, Malawi</t>
  </si>
  <si>
    <t>Briden (1967)</t>
  </si>
  <si>
    <t>K-Ar ages of 118-131 Ma</t>
  </si>
  <si>
    <t>Cretaceous Kimberlites 2, South Africa</t>
  </si>
  <si>
    <t>U/Pb and Rb-Sr ages between 113-145 Ma</t>
  </si>
  <si>
    <t>Ponta Grossa dykes, Brazil</t>
  </si>
  <si>
    <t>Raposo and Ernesto (1995)</t>
  </si>
  <si>
    <t>14 40Ar/39Ar ages: of 129.2 ± 0.4 to 131.4 ± 0.4 Ma</t>
  </si>
  <si>
    <t>Ponta Grossa dykes</t>
  </si>
  <si>
    <t>Cervantes-Solano et al. (2015)</t>
  </si>
  <si>
    <t>South Parana Magmatic Province</t>
  </si>
  <si>
    <t>Owen-Smith et al. (2019)</t>
  </si>
  <si>
    <t>Serra Geral basalts, Brazil</t>
  </si>
  <si>
    <t>Pacca and Hiodo (1976)</t>
  </si>
  <si>
    <t>Ar/Ar and U/Pb ages of 131 to 135 Ma (Rossetti et al., 2018)</t>
  </si>
  <si>
    <t>Kaoko lavas, Namibia</t>
  </si>
  <si>
    <t>Gidskehaug et al. (1975)</t>
  </si>
  <si>
    <t>Etendeka LIP (upper), Namibia</t>
  </si>
  <si>
    <t>Dodd et al. (2015)</t>
  </si>
  <si>
    <t>Etendeka LIP (lower), Namibia</t>
  </si>
  <si>
    <t>Etendeka, Namibia</t>
  </si>
  <si>
    <t>Northeast Parana Magmatic Province Combined, Brazil</t>
  </si>
  <si>
    <t>Ernesto et al. (1999)</t>
  </si>
  <si>
    <t>Superseded; includes data from Ernesto et al. (1990)</t>
  </si>
  <si>
    <t>40Ar/39Ar ages of 129.9-131.9 Ma</t>
  </si>
  <si>
    <t>Northern Parana Magmatic Province, Brazil</t>
  </si>
  <si>
    <t>Ernesto et al. (2021)</t>
  </si>
  <si>
    <t>Central Parana Magmatic Province</t>
  </si>
  <si>
    <t>Posadas Formation, Parana flood basalts</t>
  </si>
  <si>
    <t>Central Parana, Brazil</t>
  </si>
  <si>
    <t>Alva-Valvidia et al. (2003)</t>
  </si>
  <si>
    <t>Arapey volcanics, Uruguay</t>
  </si>
  <si>
    <t>Cervantes-Solano et al. (2010)</t>
  </si>
  <si>
    <t>Parana flood basalt, Alto Paraguay Formation, Paraguay</t>
  </si>
  <si>
    <t>Goguitchaichvili et al. (2013)</t>
  </si>
  <si>
    <t>Franz Josef Land LIP</t>
  </si>
  <si>
    <t>Abashev et al. (2018), include data from Mikhaltsov et al. (2016)</t>
  </si>
  <si>
    <t>Rio de Los Molinos dykes 2, Cordoba, Argentina</t>
  </si>
  <si>
    <t>5 poorly dated dykes (K-Ar ages of 129-150 Ma, each with ±10 Ma uncertainty)</t>
  </si>
  <si>
    <t>Berriasian limestones</t>
  </si>
  <si>
    <t>Galbrun (1985)</t>
  </si>
  <si>
    <t>Dykes, Rio Grande do Norte, Brazil</t>
  </si>
  <si>
    <t>Buecker et al. (1986)</t>
  </si>
  <si>
    <t>8 K-Ar ages of 125-167 Ma</t>
  </si>
  <si>
    <t>Southwest Greenland dykes</t>
  </si>
  <si>
    <t>Kulakov et al. (2021)</t>
  </si>
  <si>
    <t>Upper Jurassic sediments, Tunisia</t>
  </si>
  <si>
    <t>Nairn et al. (1981)</t>
  </si>
  <si>
    <t>La Negra south</t>
  </si>
  <si>
    <t>Fu et al. (2020)</t>
  </si>
  <si>
    <t>Posades and Sierra Colorado ignimbrites, Argentina</t>
  </si>
  <si>
    <t>Iglesia-Llanos et al. (2003)</t>
  </si>
  <si>
    <t>153-157 Ma U/Pb ages (156.5±1.9 Ar/Ar age obtained in this study)</t>
  </si>
  <si>
    <t>Chon Aike Formation, Argentina</t>
  </si>
  <si>
    <t>Ruiz González et al. (2019)</t>
  </si>
  <si>
    <t>155.0 ± 3.5 Ma based on 10 40Ar/39Ar ages</t>
  </si>
  <si>
    <t>Jura Blue limestone, Switzerland</t>
  </si>
  <si>
    <t>Johnson et al. (1984)</t>
  </si>
  <si>
    <t>Oxfordian - Kimmeridgian (GTS2020)</t>
  </si>
  <si>
    <t>La Mathilde Formation, Patagonia</t>
  </si>
  <si>
    <t>Ruiz Gonzalez et al. (2022)</t>
  </si>
  <si>
    <t>157.4 ± 0.7 Ma 40Ar/39Ar age</t>
  </si>
  <si>
    <t>Zapican dike swarm, Uruguay</t>
  </si>
  <si>
    <t>Cervantes-Solano et al. (2020)</t>
  </si>
  <si>
    <t>11 sites combined with 8 sites from Lossada et al. (2014)</t>
  </si>
  <si>
    <t>Ar/Ar age of 157.6±3.0 Ma by Lossada et al. (2014)</t>
  </si>
  <si>
    <t>Nico Perez dykes, Uruguay</t>
  </si>
  <si>
    <t>Lossada et al. (2014)</t>
  </si>
  <si>
    <t xml:space="preserve">39Ar/40Ar age on plagioclase of 157.6±3.0 Ma
</t>
  </si>
  <si>
    <t>Terres Noires, France</t>
  </si>
  <si>
    <t>Aubourg and Rochette (1992)</t>
  </si>
  <si>
    <t>Oxfordian sediments</t>
  </si>
  <si>
    <t>Kruczyk and Kadzialko-Hofmokl (1988)</t>
  </si>
  <si>
    <t>Oxfordian (GTS2020)</t>
  </si>
  <si>
    <t>Subtatric Nappe sediments, Poland</t>
  </si>
  <si>
    <t>Kadzialko-Hofmokl and Kruczyk (1987)</t>
  </si>
  <si>
    <t>Bathonian-Kimmeridgian</t>
  </si>
  <si>
    <t>Intrusive rocks, Nigeria</t>
  </si>
  <si>
    <t>Marton and Marton (1976)</t>
  </si>
  <si>
    <t>Limestones, Krakow–Czestochowa Upland</t>
  </si>
  <si>
    <t>Callovian-Oxfordian</t>
  </si>
  <si>
    <t>Lavas and dykes, Vestfjella</t>
  </si>
  <si>
    <t>Løvlie (1988)</t>
  </si>
  <si>
    <t>Age of lavas is unknown; K-Ar ages of dykes that cut lavas: 152-176 Ma</t>
  </si>
  <si>
    <t>La Negra north</t>
  </si>
  <si>
    <t>Prospect dolerite, Sydney Basin</t>
  </si>
  <si>
    <t>Schmidt (1982)</t>
  </si>
  <si>
    <t>Rejected: lack on error of K–Ar age. Superseded Schmidt (1976b)</t>
  </si>
  <si>
    <t>K–Ar age (168 Ma) from Evernden and Richards (1962), but no error provided</t>
  </si>
  <si>
    <t>Chon Aike Formation, Patagonia</t>
  </si>
  <si>
    <t>Vizan (1998)</t>
  </si>
  <si>
    <t>168 ± 2 Ma Rb-Sr age</t>
  </si>
  <si>
    <t>Chon Aike Formation, combined result, Argentina</t>
  </si>
  <si>
    <t>Vilas (1974)</t>
  </si>
  <si>
    <t>Jurassic sediments</t>
  </si>
  <si>
    <t>Kadzialko-Hofmokl et al. (1988)</t>
  </si>
  <si>
    <t>Bajocian</t>
  </si>
  <si>
    <t>Gingenbullen Dolerite</t>
  </si>
  <si>
    <t>Thomas et al. (2000)</t>
  </si>
  <si>
    <t>Average of K–Ar ages give 172±5 Ma (McDougall and Wellman, 1976)</t>
  </si>
  <si>
    <t>Beni Mellal volcanics, Morocco</t>
  </si>
  <si>
    <t>Bardon et al. (1973)</t>
  </si>
  <si>
    <t>K-Ar ages of 170-177 Ma</t>
  </si>
  <si>
    <t>Beni Mellal basalts, Morocco</t>
  </si>
  <si>
    <t>West Maranhao Basalts, Brazil</t>
  </si>
  <si>
    <t>Thouars and Airvault Sections, France</t>
  </si>
  <si>
    <t>Galbrun et al. (1988)</t>
  </si>
  <si>
    <t>Toarcian</t>
  </si>
  <si>
    <t>Schmidt (1976)</t>
  </si>
  <si>
    <t>Assumed to be linked to Ferrar magmatic activity (180±3 Ma, Riley and Knight, 2001); K-Ar age of 193±10 Ma cited in original paper</t>
  </si>
  <si>
    <t>Gair Mesa, Kirkpatrick basalts</t>
  </si>
  <si>
    <t>Lemna et al. (2016)</t>
  </si>
  <si>
    <t>Estimated age of magnetization based on radiometric ages and polarity</t>
  </si>
  <si>
    <t>Northern Victoria Land - Kirkpatrick Basalts</t>
  </si>
  <si>
    <t>Age not specified in paper; assumed same age for Kirkpatrick Basalts as in Lemna et al., Gondwana Res 2016</t>
  </si>
  <si>
    <t>Batoka basalts, northern Zimbabwe</t>
  </si>
  <si>
    <t>Jones et al. (2001)</t>
  </si>
  <si>
    <t>3 Ar/Ar ages that cluster around 180 Ma, uncertainty range defined as lower limit of youngest age to upper limit of oldest age</t>
  </si>
  <si>
    <t>Marifil Complex, Patagonia</t>
  </si>
  <si>
    <t>183 ± 2 Ma and 178 ± 1 Ma Rb-Sr ages</t>
  </si>
  <si>
    <t>Naude's Nek section, Karoo LIP</t>
  </si>
  <si>
    <t>Moulin et al. (2011)</t>
  </si>
  <si>
    <t>Ar/Ar ages of 180.1±1.4 Ma to 182.8±2.6 Ma</t>
  </si>
  <si>
    <t>Oxbow-Moteng Pass section, Karoo LIP</t>
  </si>
  <si>
    <t>Moulin et al. (2017)</t>
  </si>
  <si>
    <t>Mendoza–Neuquen sediments and volcanics</t>
  </si>
  <si>
    <t>Iglesia-Llanos et al. (2006)</t>
  </si>
  <si>
    <t>Pliensbachian–Toarcian</t>
  </si>
  <si>
    <t>Mariﬁl Formation, North Patagonia, Argentina</t>
  </si>
  <si>
    <t>178-188 Ma U/Pb ages</t>
  </si>
  <si>
    <t>Hoachanas lavas, Namibia</t>
  </si>
  <si>
    <t>183 ± 4 Ma age for Karroo-Ferrar LIP magmatism; after Duncan et al. (1997), Pankhurst et al. (2000); Riley and Knight (2001)</t>
  </si>
  <si>
    <t>Stormberg lavas (Lesotho basalts), South Africa</t>
  </si>
  <si>
    <t>Kosterov and Perrin (1996)</t>
  </si>
  <si>
    <t>Stormberg lavas, Sani Pass and Maseru, Lesotho</t>
  </si>
  <si>
    <t>van Zijl et al. (1962)</t>
  </si>
  <si>
    <t>Karroo lavas, Central Africa, Zimbabwe, Mozambique</t>
  </si>
  <si>
    <t>McElhinny et al. (1968)</t>
  </si>
  <si>
    <t>Karroo dolerites combined, South Africa, Zimbabwe</t>
  </si>
  <si>
    <t>McElhinny and Jones (1965)</t>
  </si>
  <si>
    <t>Tasmanian dolerite</t>
  </si>
  <si>
    <t>Schmidt and McDougall (1977)</t>
  </si>
  <si>
    <t>177.7 ± 6.2 Ma mean of 5 K-Ar ages; age taken from Karroo-Ferrar volcanic province</t>
  </si>
  <si>
    <t>Ferrar dolerites, Northern Prince Albert Mountains</t>
  </si>
  <si>
    <t>Lanza and Zanella (1993)</t>
  </si>
  <si>
    <t>Ferrar dolerite sill, Mount Cerberus</t>
  </si>
  <si>
    <t>Kellogg (1988)</t>
  </si>
  <si>
    <t>1 VGP from 1 dyke only</t>
  </si>
  <si>
    <t>Ferrar dolerites, Wright Valley</t>
  </si>
  <si>
    <t>Funaki (1984)</t>
  </si>
  <si>
    <t>Pole already presented in Funaki (1983) paper</t>
  </si>
  <si>
    <t>Ferrar dolerite, McMurdo Sound</t>
  </si>
  <si>
    <t>Funaki (1983)</t>
  </si>
  <si>
    <t>1 demagnetization step only (150 Oe)</t>
  </si>
  <si>
    <t>Lesotho basalts</t>
  </si>
  <si>
    <t>Prevot et al. (2003)</t>
  </si>
  <si>
    <t>Lepa-Osta Arena Formation</t>
  </si>
  <si>
    <t>Scania basalts</t>
  </si>
  <si>
    <t>Bylund and Halvorsen (1993)</t>
  </si>
  <si>
    <t>Diabase dykes and sills, Liberia</t>
  </si>
  <si>
    <t>Whole-rock 40Ar/39Ar isochron age of 185.8±2.3 Ma</t>
  </si>
  <si>
    <t>Marangudzi Ring Complex, Zimbabwe</t>
  </si>
  <si>
    <t>Brock (1968)</t>
  </si>
  <si>
    <t>Hank volcanics, North Mauritania</t>
  </si>
  <si>
    <t>Sichler et al. (1980)</t>
  </si>
  <si>
    <t>187±5 Ma K-Ar age</t>
  </si>
  <si>
    <t>Hodh volcanics, South Mauritania</t>
  </si>
  <si>
    <t>Storm Peak Lavas, Queen Alexandra Range</t>
  </si>
  <si>
    <t>Ostrander (1971)</t>
  </si>
  <si>
    <t>Early Jurassic (stratigraphic)</t>
  </si>
  <si>
    <t>Pliensbachian</t>
  </si>
  <si>
    <t>Paris Basin drillcore</t>
  </si>
  <si>
    <t>Moreau et al. (2002)</t>
  </si>
  <si>
    <t>Drill cores oriented by Bruhnes-age overprint</t>
  </si>
  <si>
    <t>Liassic sediments</t>
  </si>
  <si>
    <t>Hijab and Tarling (1982)</t>
  </si>
  <si>
    <t>Freetown Complex, Sierra Leone</t>
  </si>
  <si>
    <t>Hargraves et al. (1999)</t>
  </si>
  <si>
    <t>Rb-Sr age of 193 ± 3 Ma</t>
  </si>
  <si>
    <t>Kerforne dykes, France</t>
  </si>
  <si>
    <t>Sichler and Perrin (1993)</t>
  </si>
  <si>
    <t>193 ± 3 Ma Ar/Ar age from Jourdan et al. (2003; Geophysical Monograph 136)</t>
  </si>
  <si>
    <t>Vestfjella lavas and dykes</t>
  </si>
  <si>
    <t>Løvlie (1979)</t>
  </si>
  <si>
    <t>7 lavas and 25 dykes</t>
  </si>
  <si>
    <t>K-Ar ages of 156 to 230 Ma</t>
  </si>
  <si>
    <t>French Guyana dikes, Brazil</t>
  </si>
  <si>
    <t>Nomade et al. (2000)</t>
  </si>
  <si>
    <t>Ar/Ar ages: 192.3 ± 2.0 to 198.3 ± 2.0 Ma</t>
  </si>
  <si>
    <t>Mendoza sediments and volcanics</t>
  </si>
  <si>
    <t>Hettangian–Sinemurian</t>
  </si>
  <si>
    <t>Anari and Tapirapua Formations, Brazil</t>
  </si>
  <si>
    <t>40Ar/39Ar age of 196.6 ± 0.4 Ma</t>
  </si>
  <si>
    <t>Montes-Lauar et al. (1994)</t>
  </si>
  <si>
    <t xml:space="preserve">39Ar/40Ar of 196.6±0.4 Ma
</t>
  </si>
  <si>
    <t>Paris Basin sediments</t>
  </si>
  <si>
    <t>Yang et al. (1996)</t>
  </si>
  <si>
    <t>Sinemurian-Hettangian</t>
  </si>
  <si>
    <t>Cassipore dykes, Brazil</t>
  </si>
  <si>
    <t>Ernesto et al. (2003)</t>
  </si>
  <si>
    <t>Three 40Ar/Ar ages of 202.0 ± 2.0 Ma to 192.7 ± 1.8 Ma</t>
  </si>
  <si>
    <t>Bolivar dykes, Venezuela</t>
  </si>
  <si>
    <t>MacDonald and Opdyke (1974)</t>
  </si>
  <si>
    <t>Excluded: low N and high k</t>
  </si>
  <si>
    <t>K-Ar age of 199 ± 5 Ma</t>
  </si>
  <si>
    <t>Roraima dykes, CAMP, Brazil</t>
  </si>
  <si>
    <t>Three 40Ar/39Ar isochron ages of 197.4 ± 3.8 to 201.1 ± 1.4 Ma</t>
  </si>
  <si>
    <t>Ighrem and Foum Zguid dykes, Morocco</t>
  </si>
  <si>
    <t>Palencia-Ortas et al. (2011)</t>
  </si>
  <si>
    <t>Hettangian biostratigraphic</t>
  </si>
  <si>
    <t>Hettangian–Sinemurian limestone</t>
  </si>
  <si>
    <t>Edel and Duringer (1997)</t>
  </si>
  <si>
    <t>E/I corrected</t>
  </si>
  <si>
    <t>Argana Flows. Morocco</t>
  </si>
  <si>
    <t>Ruiz-Martinez et al. (2012)</t>
  </si>
  <si>
    <t>CAMP age of 201±2 Ma, based on summary of age constraints in this study</t>
  </si>
  <si>
    <t>Morrocan Intrusives, Morocco</t>
  </si>
  <si>
    <t>CAMP age of 201±2 Ma</t>
  </si>
  <si>
    <t>Central Atlantic Magmatic Province, Morocco</t>
  </si>
  <si>
    <t>Knight et al. (2004)</t>
  </si>
  <si>
    <t>pole not based on site-level data because this was interpreted not to adequately represent PSV</t>
  </si>
  <si>
    <t>Font et al. (2011)</t>
  </si>
  <si>
    <t>Deenen et al. (2011)</t>
  </si>
  <si>
    <t>Rhaetian sediments, Germany, France</t>
  </si>
  <si>
    <t>Rhaetian</t>
  </si>
  <si>
    <t>Kent and Tauxe (2005)</t>
  </si>
  <si>
    <t>Zarzaitine Formation, Algeria</t>
  </si>
  <si>
    <t>Kies et al. (1995)</t>
  </si>
  <si>
    <t>Late Triassic-Liassic</t>
  </si>
  <si>
    <t>Pachmarhi beds, Central India</t>
  </si>
  <si>
    <t>Wensink (1968)</t>
  </si>
  <si>
    <t>31 directions rom 3 sites</t>
  </si>
  <si>
    <t>Isalo Group</t>
  </si>
  <si>
    <t>Embleton and McElhinny (1975)</t>
  </si>
  <si>
    <t>Gipsdalen and Fleming Fjord Formations</t>
  </si>
  <si>
    <t>E/I correction applied to individual directions provided by authors; pole, K, A95 changed</t>
  </si>
  <si>
    <t>Andesites, Ukraine</t>
  </si>
  <si>
    <t>Yuan et al. (2011)</t>
  </si>
  <si>
    <t>Ar/Ar ages, ranging from 204.2±1.6 tot 215.7±2 Ma</t>
  </si>
  <si>
    <t>Merci mudstone, Somerset</t>
  </si>
  <si>
    <t>Briden and Daniels (1999)</t>
  </si>
  <si>
    <t>Norian, limited biostratigraphic evidence</t>
  </si>
  <si>
    <t>Los Colorados Mendoza</t>
  </si>
  <si>
    <t>Vizán et al. (2004)</t>
  </si>
  <si>
    <t>Red sandstone Formation, Zambia</t>
  </si>
  <si>
    <t>Opdyke (1964)</t>
  </si>
  <si>
    <t>Upper Triassic Sediments, Southern Tunisia</t>
  </si>
  <si>
    <t>Ghorabi and Henry (1991)</t>
  </si>
  <si>
    <t>Sunnhordland dike</t>
  </si>
  <si>
    <t>Walderhaug (1993)</t>
  </si>
  <si>
    <t>Bir-Umhebal R, Egypt</t>
  </si>
  <si>
    <t>Taimyr Sills, Siberia</t>
  </si>
  <si>
    <t>Walderhaug et al. (2005)</t>
  </si>
  <si>
    <t>40Ar/39Ar ages of 227±7, 227.5±1.2 and 229±4.0 Ma</t>
  </si>
  <si>
    <t>Gezira, Egypt</t>
  </si>
  <si>
    <t>Dolerite dykes, Suriname</t>
  </si>
  <si>
    <t>Veldkamp et al. (1971)</t>
  </si>
  <si>
    <t>K-Ar age of 232±5 Ma</t>
  </si>
  <si>
    <t>Gipskeuper sediments</t>
  </si>
  <si>
    <t>Al Azizia Formation, Kaf Bates, Libya</t>
  </si>
  <si>
    <t>Muttoni et al. (2001)</t>
  </si>
  <si>
    <t>Biostratigraphy: Ladinian-Carnian</t>
  </si>
  <si>
    <t>Al Azizia Formation, Al Azizia, Libya</t>
  </si>
  <si>
    <t>Udzha, Siberian Platform</t>
  </si>
  <si>
    <t>Veselovskiy et al. (2012)</t>
  </si>
  <si>
    <t>Ar-Ar ages Konstantinov et al., 2009</t>
  </si>
  <si>
    <t>Amana Formation, Paganzo Group, Argentina</t>
  </si>
  <si>
    <t>Valencio et al. (1977b)</t>
  </si>
  <si>
    <t>Paganzo basin sediments excluded because of likely remagnetization and/or Andean-related deformation</t>
  </si>
  <si>
    <t>Alto Paraguay Province, Paraguay/Brazil</t>
  </si>
  <si>
    <t>Ernesto et al. (2015)</t>
  </si>
  <si>
    <t>Ar-Ar: 241.5±1.3</t>
  </si>
  <si>
    <t>Heming limestone, France</t>
  </si>
  <si>
    <t>Theveniaut et al. (1992)</t>
  </si>
  <si>
    <t>Uppermost Anisian to lowermost Ladinian (-&gt; Middle Jurassic taken)</t>
  </si>
  <si>
    <t>Musschelkalk carbonates, Poland</t>
  </si>
  <si>
    <t>Symons et al. (1995)</t>
  </si>
  <si>
    <t>Middle Triassic</t>
  </si>
  <si>
    <t>Brisbane Tuffs</t>
  </si>
  <si>
    <t>Biostratigraphy on intercalated coal measures gives Middle Triassic flora (Jones and Jersey, 1947)</t>
  </si>
  <si>
    <t>Puesto Viejo Formation Volcanics, Mendoza</t>
  </si>
  <si>
    <t>Domeier et al. (2011c)</t>
  </si>
  <si>
    <t>Puesto Viejo Formation Sediments, Mendoza</t>
  </si>
  <si>
    <t>Volpriehausen Formation, Germany</t>
  </si>
  <si>
    <t>Szurlies (2004)</t>
  </si>
  <si>
    <t>Early Triassic</t>
  </si>
  <si>
    <t>Taimyr basalts, Siberia</t>
  </si>
  <si>
    <t>40Ar/39Ar age of sample TAI-8 with preferred 2-sigma uncertainty</t>
  </si>
  <si>
    <t>Bunter and Musschelkalk, Germany</t>
  </si>
  <si>
    <t>Rother (1971)</t>
  </si>
  <si>
    <t>Upper Buntsandstein, France</t>
  </si>
  <si>
    <t>Biquand (1977)</t>
  </si>
  <si>
    <t>Mangli Beds, Central India</t>
  </si>
  <si>
    <t>23 directions from 2 sites</t>
  </si>
  <si>
    <t>East European Platform, Astrakhanovka</t>
  </si>
  <si>
    <t>Fetisova et al. (2018)</t>
  </si>
  <si>
    <t>Taimyr Siberian Traps, Siberia</t>
  </si>
  <si>
    <t>Gurevitch et al. (1995)</t>
  </si>
  <si>
    <t>Siberian Traps, Siberia</t>
  </si>
  <si>
    <t>Gurevitch et al. (2004)</t>
  </si>
  <si>
    <t>Pavlov et al (2007) exclude unreliable data from East Norlisk and upper part of Abagalakh, and use 44 sites to compute a paleopole</t>
  </si>
  <si>
    <t>Kotuy River Siberian Traps, Siberia</t>
  </si>
  <si>
    <t>Veselovsky et al. (2003)</t>
  </si>
  <si>
    <t>Moyero River Siberian Traps, Siberia</t>
  </si>
  <si>
    <t>Gallet and Pavlov (1996); Pavlov et al. (2007)</t>
  </si>
  <si>
    <t>evidence for a synfolding origin of the magnetic remanence</t>
  </si>
  <si>
    <t>Siberian Traps Mean recalculated, Siberia</t>
  </si>
  <si>
    <t>German Trias, Lower Buntstein</t>
  </si>
  <si>
    <t>Szurlies et al. (2003)</t>
  </si>
  <si>
    <t>Magnetostratigraphy: Griesbachian-Dienerian</t>
  </si>
  <si>
    <t>Siberian Traps NSP1 pole</t>
  </si>
  <si>
    <t>Pavlov et al. (2007)</t>
  </si>
  <si>
    <t>Stolbovaya River Siberian Traps, Siberia</t>
  </si>
  <si>
    <t>Big Nirunda river intrusion and sediments, Siberia</t>
  </si>
  <si>
    <t>Karroo Basin</t>
  </si>
  <si>
    <t>De Kock and Kirschvink (2004)</t>
  </si>
  <si>
    <t>Kulumber river intrusions, Siberia</t>
  </si>
  <si>
    <t>Latyshev et al. (2021b)</t>
  </si>
  <si>
    <t>Siberian Traps, RD locality</t>
  </si>
  <si>
    <t>Siberian Traps, YG locality</t>
  </si>
  <si>
    <t>Siberian Traps, Nizhnyaya Tunguska river</t>
  </si>
  <si>
    <t>Latyshev et al. (2018)</t>
  </si>
  <si>
    <t>Siberian Traps, Nizhneudinsk-Octyabrskiy group</t>
  </si>
  <si>
    <t>Siberian Traps, Tura lavas</t>
  </si>
  <si>
    <t>Siberian Traps, Norilsk‐Maymecha-Kotuy</t>
  </si>
  <si>
    <t>Pavlov et al. (2019)</t>
  </si>
  <si>
    <t>Norils region intrusions, Siberia</t>
  </si>
  <si>
    <t>Latyshev et al. (2021a)</t>
  </si>
  <si>
    <t>INTR pole</t>
  </si>
  <si>
    <t>Mitu Group red beds, Peru</t>
  </si>
  <si>
    <t>Gilder et al. (2003)</t>
  </si>
  <si>
    <t>Cassanje Series, Angola</t>
  </si>
  <si>
    <t>Valencio et al. (1978)</t>
  </si>
  <si>
    <t>Panchet clays, Karanpura Coalﬁelds, India</t>
  </si>
  <si>
    <t>Klootwijk (1974)</t>
  </si>
  <si>
    <t>13 directions from 1 site</t>
  </si>
  <si>
    <t>Combined Sakamena Rakotosolofo et al. 1999</t>
  </si>
  <si>
    <t>Rakotosolofo et al. (1999)</t>
  </si>
  <si>
    <t>East European Platform, Puchezh</t>
  </si>
  <si>
    <t>Fetisova et al. (2017)</t>
  </si>
  <si>
    <t>Late Permian - Early Triassic</t>
  </si>
  <si>
    <t>East European Platform, Zhukov</t>
  </si>
  <si>
    <t>East European Platform, Oskii S"ezd</t>
  </si>
  <si>
    <t>East European Platform, Caashwitz</t>
  </si>
  <si>
    <t>Late Permian</t>
  </si>
  <si>
    <t>Araguainha impact structure, Brazil</t>
  </si>
  <si>
    <t>Yokoyama et al. (2014)</t>
  </si>
  <si>
    <t>Late Permian (Lopingian)</t>
  </si>
  <si>
    <t>Wargal and Chidru Formations, Salt Range, Pakistan</t>
  </si>
  <si>
    <t>Haag and Heller (1991)</t>
  </si>
  <si>
    <t>Kamthi beds, Tadoba, India</t>
  </si>
  <si>
    <t>Kamthi red beds, Wardha Valley, Central India</t>
  </si>
  <si>
    <t>Klootwijk (1975)</t>
  </si>
  <si>
    <t>Massif des Maures, France</t>
  </si>
  <si>
    <t>Merabet and Daly (1986)</t>
  </si>
  <si>
    <t>Late Permian sediments, Urals</t>
  </si>
  <si>
    <t>Bazhenov et al. (2008)</t>
  </si>
  <si>
    <t>Esterel sediments, France</t>
  </si>
  <si>
    <t>Zijderveld (1975)</t>
  </si>
  <si>
    <t>East European Platform, Nelben</t>
  </si>
  <si>
    <t>East European Platform, Sukhona</t>
  </si>
  <si>
    <t>Sudetes sediments, Poland</t>
  </si>
  <si>
    <t>Nawrocki (1997)</t>
  </si>
  <si>
    <t>Zechstein -&gt; Wuchiapingian</t>
  </si>
  <si>
    <t>SW England, Aylesbeare Mudstone</t>
  </si>
  <si>
    <t>Capitanian - Wuchiapingian</t>
  </si>
  <si>
    <t>Ikakern Formation, Morocco</t>
  </si>
  <si>
    <t>Kent et al. (2021)</t>
  </si>
  <si>
    <t>E/I correction applied to 44 directions</t>
  </si>
  <si>
    <t>252 Ma (Permian-Triassic boundary) to 267 Ma (estimated end of Kiaman superchron; GTS2020)</t>
  </si>
  <si>
    <t>Gonfaron 1, Lodeve</t>
  </si>
  <si>
    <t>Evans et al. (2014)</t>
  </si>
  <si>
    <t>Capitanian, magnetostratigraphy</t>
  </si>
  <si>
    <t>Sierra Chica, La Pampa</t>
  </si>
  <si>
    <t>Domeier et al. (2011b)</t>
  </si>
  <si>
    <t>U/Pb age of 263 +1.6/-2.0 Ma</t>
  </si>
  <si>
    <t>Independencia Group</t>
  </si>
  <si>
    <t>Rapalini et al. (2006)</t>
  </si>
  <si>
    <t>Brive Basin sediments, France</t>
  </si>
  <si>
    <t>Chen et al. (1997)</t>
  </si>
  <si>
    <t>pole changed to non-rounded value of GPDB</t>
  </si>
  <si>
    <t>Saxo-Thuringian (Late Permian), used Lopingian-Guadelupian (GTS2020)</t>
  </si>
  <si>
    <t>Upper Choiyoi Group, Mendoza</t>
  </si>
  <si>
    <t>Esterel extrusives, France</t>
  </si>
  <si>
    <t>Vlag et al (1999) find evidence for remagnetization</t>
  </si>
  <si>
    <t>39Ar/40Ar age of 264±2 Ma</t>
  </si>
  <si>
    <t>Gerrigong Volcanics</t>
  </si>
  <si>
    <t>Belica et al. (2017)</t>
  </si>
  <si>
    <t>Average of 40Ar/39Ar plagioclase plateau age of 265.05±0.35 Ma (Belica et al., 2017) and TIMS U–Pb zircon age of 263.51±0.05 Ma (Metcalfe et al., 2015)</t>
  </si>
  <si>
    <t>Werrie Basalt</t>
  </si>
  <si>
    <t>Klootwijk et al. (2003)</t>
  </si>
  <si>
    <t>40Ar/39Ar whole rock isochron age of 266.4±3.0 Ma (Li et al., 2014)</t>
  </si>
  <si>
    <t>Karoo redbeds, South Africa</t>
  </si>
  <si>
    <t>Lanci et al. (2013)</t>
  </si>
  <si>
    <t>5 U/Pb ages, combined with magnetostratigraphy</t>
  </si>
  <si>
    <t>Saxonian red sandstone, France</t>
  </si>
  <si>
    <t>Smith et al. (1991)</t>
  </si>
  <si>
    <t>Saxonian, age taken as Guadelupian</t>
  </si>
  <si>
    <t>Tambillos, Uspallate Basin, Argentina</t>
  </si>
  <si>
    <t>Rapalini and Vilas (1991)</t>
  </si>
  <si>
    <t>Cracow volcanics B</t>
  </si>
  <si>
    <t>Nawrocki et al. (2008)</t>
  </si>
  <si>
    <t>U/Pb zircon ages of metasomatic altered rocks dated as 268.7±3.4 Ma</t>
  </si>
  <si>
    <t>Lunner dikes, Norway</t>
  </si>
  <si>
    <t>Dominguez et al. (2011)</t>
  </si>
  <si>
    <t>Ar/Ar age of 271±2.7 (Dominguez et al. 2011)</t>
  </si>
  <si>
    <t>Torsvik et al. (1988)</t>
  </si>
  <si>
    <t>Dome de Barrot, France</t>
  </si>
  <si>
    <t>Haldan et al. (2009)</t>
  </si>
  <si>
    <t>E/I correction applied; includes data Kruiver et al. (2002)</t>
  </si>
  <si>
    <t>Roadian</t>
  </si>
  <si>
    <t>Dome de Barrot red beds, France</t>
  </si>
  <si>
    <t>Van den Ende (1970)</t>
  </si>
  <si>
    <t>Roadian (see Haldan et al., 2009)</t>
  </si>
  <si>
    <t>KWV-01 core, Karoo basin</t>
  </si>
  <si>
    <t>De Kock and Abudakre (2022)</t>
  </si>
  <si>
    <t>111 ChRM directions (lines only)</t>
  </si>
  <si>
    <t>Lodeve basin redbeds</t>
  </si>
  <si>
    <t xml:space="preserve">Haldan et al. (2009) </t>
  </si>
  <si>
    <t>E/I correction applied; includes data from Maillol (1992)</t>
  </si>
  <si>
    <t>Kungurian - Wordian (Haldan et al., 2009)</t>
  </si>
  <si>
    <t>K3 beds, Galula coalﬁeld, Tanzania</t>
  </si>
  <si>
    <t>Kungurian-Wordian</t>
  </si>
  <si>
    <t>Lodeve B Component, France</t>
  </si>
  <si>
    <t>Cogné et al. (1990)</t>
  </si>
  <si>
    <t>Kungurian-Wordian (stratigraphic, Haldan et al., 2009)</t>
  </si>
  <si>
    <t>Bohuslan dikes combined, Sweden</t>
  </si>
  <si>
    <t>Thorning and Abrahamsen (1980)</t>
  </si>
  <si>
    <t>Rb-Sr age of 275±12 (Sundvoll and Larsen, 1993)</t>
  </si>
  <si>
    <t>El Centinela, La Pampa, Argentina</t>
  </si>
  <si>
    <t>Tommezoli et al. (2018)</t>
  </si>
  <si>
    <t>Age from the top of the sequence (and this is the bottom so it must be a little bit older)</t>
  </si>
  <si>
    <t>U-Pb zircon age of 276 ± 11 Ma</t>
  </si>
  <si>
    <t>Bohemian quartz porphyry, Germany</t>
  </si>
  <si>
    <t>Thomas et al. (1997)</t>
  </si>
  <si>
    <t>2 sites only</t>
  </si>
  <si>
    <t>Soffel and Harzer (1991) quote age of 275-280 Ma; Rb-Sr age of 280± ? (Besang et al. 1976, unavailable)</t>
  </si>
  <si>
    <t>Bohemian Massif igneous, Germany</t>
  </si>
  <si>
    <t>Soffel and Harzer (1991)</t>
  </si>
  <si>
    <t>Lodeve Basin, France</t>
  </si>
  <si>
    <t>Merabet and Guillaume (1988)</t>
  </si>
  <si>
    <t>Artkinsian - Wordian (Haldan et al., 2009)</t>
  </si>
  <si>
    <t>Upper Lodeve sandstone, France</t>
  </si>
  <si>
    <t>Kruseman (1962)</t>
  </si>
  <si>
    <t>Scania melaphyre dikes, Sweden</t>
  </si>
  <si>
    <t>Bylund (1974)</t>
  </si>
  <si>
    <t>Ar/Ar age of 278±4 (Klingspor, 1976) -&gt; age of melaphyre dyke at Tolanga</t>
  </si>
  <si>
    <t>Jebel Nehoud Ring Complex, Kordofan, Sudan</t>
  </si>
  <si>
    <t>Bachtadse et al. (2002)</t>
  </si>
  <si>
    <t>K-Ar age of 280±2 Ma</t>
  </si>
  <si>
    <t>Oslo volcanics, Norway</t>
  </si>
  <si>
    <t>Van Everdingen (1960)</t>
  </si>
  <si>
    <t>Rb-Sr age of 281±2 Ma (from Torsvik et al. 1998)</t>
  </si>
  <si>
    <t>Ringerike lavas, Norway</t>
  </si>
  <si>
    <t>Douglass (1988)</t>
  </si>
  <si>
    <t>Rb-Sr age of 281±4 Ma (from Torsvik et al. 1998)</t>
  </si>
  <si>
    <t>Sarna alkaline intrusion, Sweden</t>
  </si>
  <si>
    <t>Smith and Piper (1977)</t>
  </si>
  <si>
    <t>Trachytes, Ukraine</t>
  </si>
  <si>
    <t>Ar/Ar age of 282.6±2.6 Ma</t>
  </si>
  <si>
    <t>La Colina Formation, Paganzo</t>
  </si>
  <si>
    <t>Geuna and Escosteguy (2004)</t>
  </si>
  <si>
    <t>Middle Paganzo II, Los Colorados Lower Beds, Argentina</t>
  </si>
  <si>
    <t>Embleton (1970)</t>
  </si>
  <si>
    <t>La Colina Formation, Los Colorados 1, Argentina</t>
  </si>
  <si>
    <t>Thompson (1972)</t>
  </si>
  <si>
    <t>Mount Hunneberg Sill, Sweden</t>
  </si>
  <si>
    <t>Mulder (1971)</t>
  </si>
  <si>
    <t>283±8 Ma (recalculated in Timmerman et al., 2009)</t>
  </si>
  <si>
    <t>Exeter Lavas, UK</t>
  </si>
  <si>
    <t>Zijderveld (1967)</t>
  </si>
  <si>
    <t>Ar/Ar ages of 280 to 291 Ma (Edwards and Scrivener, 1999)</t>
  </si>
  <si>
    <t>Cornwell (1967)</t>
  </si>
  <si>
    <t>Western Meseta, Morocco</t>
  </si>
  <si>
    <t>Mount Leyshon Intrusive Complex, Australia</t>
  </si>
  <si>
    <t>Clark and Lackie (2003)</t>
  </si>
  <si>
    <t>Estimated age of 286 ± 6 Ma from K-Ar age of 283 ± 9 Ma and U/Pb age of 287.4 ± 3.6 Ma</t>
  </si>
  <si>
    <t>Tuckers Igneous Complex, Australia</t>
  </si>
  <si>
    <t>Mauchline lavas, Scotland</t>
  </si>
  <si>
    <t>Harcombe-Smee et al. (1996)</t>
  </si>
  <si>
    <t>K-Ar age of 286±7 of De Souza (1979). Age used to be 280, can't find what that is based on</t>
  </si>
  <si>
    <t>Black Forest volcanics, Germany</t>
  </si>
  <si>
    <t>Konrad and Nairn (1972)</t>
  </si>
  <si>
    <t>Recalculated from 7 volcanic sites with k&gt;50</t>
  </si>
  <si>
    <t>Rb-Sr ages of 286±5 Ma by Lippolt et al. (1983); see Edel and Schneider (1995)</t>
  </si>
  <si>
    <t>Black Forest rhyolites, Germany</t>
  </si>
  <si>
    <t>Edel and Schneider (1995)</t>
  </si>
  <si>
    <t>NE Kazakhstan lavas 1</t>
  </si>
  <si>
    <t>Bazhenov et al. (2014)</t>
  </si>
  <si>
    <t>Zr U-Pb ages of 286.3 ± 3.5 Ma (Bazhenov et al., 2016)</t>
  </si>
  <si>
    <t>Taztot Trachyandesite, Morocco</t>
  </si>
  <si>
    <t>12 samples from andesites, unclear if from different cooling units</t>
  </si>
  <si>
    <t>Autunian in paper, assumed Early Permian (Cisuralian)</t>
  </si>
  <si>
    <t>Chougrane red beds, Morocco</t>
  </si>
  <si>
    <t>Djebel Tarhat red beds, Morocco</t>
  </si>
  <si>
    <t>Martin et al. (1978)</t>
  </si>
  <si>
    <t>Serie d'Abadla, Upper Unit, Morocco</t>
  </si>
  <si>
    <t>Morel et al. (1981)</t>
  </si>
  <si>
    <t>Abadla Formation, Lower Unit, Algeria</t>
  </si>
  <si>
    <t>Merabat et al. (1998)</t>
  </si>
  <si>
    <t>Early Permian or Cisuralian (stratigraphic)</t>
  </si>
  <si>
    <t>Moissey volcanics, France</t>
  </si>
  <si>
    <t>Thompson et al. (1986)</t>
  </si>
  <si>
    <t>Autunian - Saxonian -&gt; Early Permian</t>
  </si>
  <si>
    <t>Intrasudetic Basin volcanics, Poland</t>
  </si>
  <si>
    <t>North Sudetic Basin sediments, Poland</t>
  </si>
  <si>
    <t>Krkonose Basin oil shales, Czech Republic</t>
  </si>
  <si>
    <t>Krs et al. (1992)</t>
  </si>
  <si>
    <t>Autunian</t>
  </si>
  <si>
    <t>North Sudetic Basin volcanics, Poland</t>
  </si>
  <si>
    <t>Intrasudetic basin sediments, Poland</t>
  </si>
  <si>
    <t>1 site with 6 samples</t>
  </si>
  <si>
    <t>Krakow volcanics, Poland</t>
  </si>
  <si>
    <t>Birkenmajer and Nairn (1964)</t>
  </si>
  <si>
    <t>Recalculated from 6 volcanic sites with k&gt;50</t>
  </si>
  <si>
    <t>Bohemian red beds, Czech Republic</t>
  </si>
  <si>
    <t>Krs (1968)</t>
  </si>
  <si>
    <t>Lower Silesia volcanics, Poland</t>
  </si>
  <si>
    <t>Birkenmajer et al. (1968)</t>
  </si>
  <si>
    <t>Thuringer Forest sediments, Germany</t>
  </si>
  <si>
    <t>Mauritsch and Rother (1983)</t>
  </si>
  <si>
    <t>NE Kazakhstan lavas 2</t>
  </si>
  <si>
    <t>Bazhenov et al. (2016)</t>
  </si>
  <si>
    <t>Zr and U-Pb ages of 286.3 ± 3.5 Ma (Bazhenov et al., 2016)</t>
  </si>
  <si>
    <t>Oslo Graben, Krokskogen and Vestfold</t>
  </si>
  <si>
    <t>Haldan et al. (2014)</t>
  </si>
  <si>
    <t>Sampling location based on map Fig. 1</t>
  </si>
  <si>
    <t>Based on radiometric ages, see review in section 2. Best estimate: Krokskogen 284±8 and Vestfold 292±8 Ma</t>
  </si>
  <si>
    <t>E/I correction applied; original data from Maillol (1992)</t>
  </si>
  <si>
    <t>Sakmarian - Artkinsian</t>
  </si>
  <si>
    <t>Permian red beds, Lodeve, France</t>
  </si>
  <si>
    <t>Evans and Maillol (1986)</t>
  </si>
  <si>
    <t>Sakmarian - Artinskian (Haldan et al., 2009)</t>
  </si>
  <si>
    <t>Rio del Penon Formation sediments, Argentina</t>
  </si>
  <si>
    <t>Punta del Agua Formation volcanics, Argentina</t>
  </si>
  <si>
    <t>Saar–Nahe volcanics, Germany</t>
  </si>
  <si>
    <t>Rb-Sr ages of 288 to 293 (Lippot et al., 1989)</t>
  </si>
  <si>
    <t>Nahe volcanics, Germany</t>
  </si>
  <si>
    <t>Nijenhuis (1961)</t>
  </si>
  <si>
    <t>Volcanics, Mechra ben Abou and Chougrane, Morocco</t>
  </si>
  <si>
    <t>assumed Stephanien-Autunian</t>
  </si>
  <si>
    <t>Upper El Adeb Larache Formation, Algeria</t>
  </si>
  <si>
    <t>Henry et al. (1992)</t>
  </si>
  <si>
    <t>Lower Tiguentourine Formation, Algeria</t>
  </si>
  <si>
    <t>Derder et al. (1994)</t>
  </si>
  <si>
    <t>Stephanien-Autunian (biostratigraphy)</t>
  </si>
  <si>
    <t>Stabben Sill, Norway</t>
  </si>
  <si>
    <t>Sturt and Torsvik (1987)</t>
  </si>
  <si>
    <t>Rb-Sr age of 291±8 Ma of the Tustna dyke (recalculated by Torsvik et al, 1997)</t>
  </si>
  <si>
    <t>K1 Dwyka Varves, Zimbabwe, Zambia, Tanzania</t>
  </si>
  <si>
    <t>McElhinny and Opdyke (1968)</t>
  </si>
  <si>
    <t>Asselian-Artinskian (biostratigraphy, Nyblade et al., 1993)</t>
  </si>
  <si>
    <t>Itarare Group, Parana Basin, Brazil</t>
  </si>
  <si>
    <t>Franco et al. (2012)</t>
  </si>
  <si>
    <t>E/I correction applied; values changed based on raw directions</t>
  </si>
  <si>
    <t>Affected by remagnetization according to Bilardello et al. (2018)</t>
  </si>
  <si>
    <t>Asselian-Artinskian (following Brandt et al., 2019)</t>
  </si>
  <si>
    <t>Alozai Formation, Baluchistan, Pakistan</t>
  </si>
  <si>
    <t>Klootwijk et al. (1981)</t>
  </si>
  <si>
    <t>Pennsylvanian - Middle Permian</t>
  </si>
  <si>
    <t>Lower Lodeve sandstone</t>
  </si>
  <si>
    <t>Sakmarian (Haldan et al., 2009)</t>
  </si>
  <si>
    <t>K values &gt; 100</t>
  </si>
  <si>
    <t>Sudetic Mountain granitoids, Poland</t>
  </si>
  <si>
    <t>Halvorsen et al. (1989)</t>
  </si>
  <si>
    <t>Rb-Sr, K-Ar, fission-track ages of 281-305 Ma</t>
  </si>
  <si>
    <t>Scania dolerites, Sweden</t>
  </si>
  <si>
    <t>Pole location changed slightly (original was rounded), age changed from 294 Ma (rounded)</t>
  </si>
  <si>
    <t>Ar/Ar ages of 287±2 and 300±10 Ma (Van der Voo and Torsvik, 2004)</t>
  </si>
  <si>
    <t>Scania dolerite dikes, Sweden</t>
  </si>
  <si>
    <t>Age changed from 294 Ma (rounded)</t>
  </si>
  <si>
    <t>Great Whin Sill, UK</t>
  </si>
  <si>
    <t>Storetvedt and Gidskehaug (1969)</t>
  </si>
  <si>
    <t>Pole location changed slightly (original was rounded)</t>
  </si>
  <si>
    <t>Ar/Ar age of 294±2 Ma</t>
  </si>
  <si>
    <t>Hadrian's Wall–Pennines Sill and Hett Dike (Whin Sill), UK</t>
  </si>
  <si>
    <t>Liss et al. (2004)</t>
  </si>
  <si>
    <t>Holy Island Sill and Dyke (Whin Sill), UK</t>
  </si>
  <si>
    <t>Nideck–Donon volcanics, France</t>
  </si>
  <si>
    <t>Roche et al. (1962)</t>
  </si>
  <si>
    <t>Some sample not sufficiently demagnetized and lack of tilt correction (Edel and Schneider, 1995); no alpha95 or k listed for each site</t>
  </si>
  <si>
    <t>Ar/Ar age of 294±0.9 Ma (see Edel and Schneider, 1995)</t>
  </si>
  <si>
    <t>Lower Nideck volcanics, France</t>
  </si>
  <si>
    <t>Westphal (1972)</t>
  </si>
  <si>
    <t>Alnwick Sill, High Green and St. Oswalds Chapel Dyke (Whin Sill), UK</t>
  </si>
  <si>
    <t>Ar/Ar age of 294±2 Ma (Van der Voo and Torsvik, 2004)</t>
  </si>
  <si>
    <t>Cracow volcanics A, Poland</t>
  </si>
  <si>
    <t>U/Pb zircon ages cluster around 294.1±2.1 Ma</t>
  </si>
  <si>
    <t>Copacabana Group sediments, Peru</t>
  </si>
  <si>
    <t>Rakotosolofo et al. (2006)</t>
  </si>
  <si>
    <t>Asselian-Sakmarian (biostratigraphy)</t>
  </si>
  <si>
    <t>Thuringer Forest volcanics, Germany</t>
  </si>
  <si>
    <t>Plon slightly modified to follow paper</t>
  </si>
  <si>
    <t>Unclear which data is really used, may represent a secondary magnetization (Edel and Schneider, 1995)</t>
  </si>
  <si>
    <t>Stephanian-Autunian age (GTS12) through stratigraphical correlation, Autunian-Saxonian age according to Edel and Schneider (1995)</t>
  </si>
  <si>
    <t>Silesia volcanics, Poland</t>
  </si>
  <si>
    <t>As and Zijderveld method is applied, no PCA; only 3 of 8 sites have K&gt;50</t>
  </si>
  <si>
    <t>Dated as Westphalian-Stephanian by biostratigraphy and stratigraphic correlation (GTS12), magnetization quoted as Stephanian-Autunian by Edel and Schneider (1995)</t>
  </si>
  <si>
    <t>Svedlodarsk, Karamysh Formation, Donbas</t>
  </si>
  <si>
    <t>Meijers et al. (2010)</t>
  </si>
  <si>
    <t>Asselian (biostratigraphy)</t>
  </si>
  <si>
    <t>Arendal diabase dykes, Norway</t>
  </si>
  <si>
    <t>Halvorsen (1972)</t>
  </si>
  <si>
    <t>Radiometric ages of 292±1 to 302±1 Ma (Torsvik et al., 2008)</t>
  </si>
  <si>
    <t>Ny–Hellesund sills, Norway</t>
  </si>
  <si>
    <t>Halvorsen (1970)</t>
  </si>
  <si>
    <t>Peterhead dyke, Scotland</t>
  </si>
  <si>
    <t>Torsvik (1985)</t>
  </si>
  <si>
    <t>Ar/Ar ages of 297±12 Ma (Van der Voo and Torsvik, 2004)</t>
  </si>
  <si>
    <t>Donets basin, Ukraine</t>
  </si>
  <si>
    <t>Iosiﬁdi et al. (2010)</t>
  </si>
  <si>
    <t>Pennsylvanian - Early Permian</t>
  </si>
  <si>
    <t>Santa Fe Group, Brazil</t>
  </si>
  <si>
    <t>Brandt et al. (2009)</t>
  </si>
  <si>
    <t>Combined Sakoa Rakotosolofo et al. 1999</t>
  </si>
  <si>
    <t>Mount Billinger sill, Sweden</t>
  </si>
  <si>
    <t>Radiometric ages of 298±2 and 300±2 Ma (Van der Voo and Torsvik, 2004)</t>
  </si>
  <si>
    <t>Svetlodarsk, Kartamysh Formation, Donbas</t>
  </si>
  <si>
    <t xml:space="preserve">includes  great-circle directions but is same as entry </t>
  </si>
  <si>
    <t>La Colina basalt, Argentina</t>
  </si>
  <si>
    <t>Thompson and Mitchell (1972)</t>
  </si>
  <si>
    <t>age changed to GTS12, not corrected in paper (N&lt;100)</t>
  </si>
  <si>
    <t>Gzhelian (biostratigraphy)</t>
  </si>
  <si>
    <t>Debaltsevo Donbas, Ukraine</t>
  </si>
  <si>
    <t>E/I correction applied</t>
  </si>
  <si>
    <t>Wackerﬁeld dyke, England</t>
  </si>
  <si>
    <t>Tarling et al. (1973)</t>
  </si>
  <si>
    <t>Only 1 dyke with 16 samples</t>
  </si>
  <si>
    <t>Mafra Formation, Brazil</t>
  </si>
  <si>
    <t>Brandt et al. (2019)</t>
  </si>
  <si>
    <t>No intersection with elongation-inclination curve of TK03.GAD; but corrected with AARM method</t>
  </si>
  <si>
    <t>Dated using palynostratigraphy as Late Pennsylvanian (Kasimovian to Gzhelian)</t>
  </si>
  <si>
    <t>Queensferry sill, Scotland</t>
  </si>
  <si>
    <t>Torsvik et al. (1989)</t>
  </si>
  <si>
    <t>Westphalian–Stephanian red beds, Czech Republic</t>
  </si>
  <si>
    <t>Westphalian-Stephanian (GTS12)</t>
  </si>
  <si>
    <t>Lower El Adeb Larache Formation, Algeria</t>
  </si>
  <si>
    <t>Moscovian</t>
  </si>
  <si>
    <t>Illizi Basin sediments, Algeria</t>
  </si>
  <si>
    <t>Derder et al. (2001a)</t>
  </si>
  <si>
    <t>Moscovian, Murzuq basin, Algeria</t>
  </si>
  <si>
    <t>Amenna et al. (2014)</t>
  </si>
  <si>
    <t>Moscovian (biostratigraphy)</t>
  </si>
  <si>
    <t>Abu Durba sediments, SW Sinai, Egypt</t>
  </si>
  <si>
    <t>Abdeldayem et al. (1994)</t>
  </si>
  <si>
    <t>Pennsylvanian</t>
  </si>
  <si>
    <t>Itarare Subgroup, Tubarao Group, Brazil</t>
  </si>
  <si>
    <t>Valencio et al. (1975)</t>
  </si>
  <si>
    <t>La Tabla Formation, Chile</t>
  </si>
  <si>
    <t>Jesinkey et al. (1987)</t>
  </si>
  <si>
    <t>Late Carboniferous (Pennsylvanian)</t>
  </si>
  <si>
    <t>La Colina Formation, Argentina</t>
  </si>
  <si>
    <t>Sinito et al. (1979)</t>
  </si>
  <si>
    <t>Pular and Cas formations, Chile</t>
  </si>
  <si>
    <t>Dwyka Group combined</t>
  </si>
  <si>
    <t>Opdyke et al. (2001)</t>
  </si>
  <si>
    <t>Reggane Basin, Harsi Bachir Formation, Algeria</t>
  </si>
  <si>
    <t>Derder et al. (2009)</t>
  </si>
  <si>
    <t>Late Namurian-early Moscovian age (taken as Bashkirian-Moscovian)</t>
  </si>
  <si>
    <t>Reggane Basin, Algeria</t>
  </si>
  <si>
    <t>Derder et al. (2001c)</t>
  </si>
  <si>
    <t>Serpukhovian-Moscovian</t>
  </si>
  <si>
    <t>Tashkovska Donbas, Ukraine</t>
  </si>
  <si>
    <t>Bashkirian (biostratigraphy)</t>
  </si>
  <si>
    <t>Bashkirian</t>
  </si>
  <si>
    <t>Oubarakat and El-Adeb Larache Formations, Algeria</t>
  </si>
  <si>
    <t>Derder et al. (2001b)</t>
  </si>
  <si>
    <t>Anderson et al. (2003)</t>
  </si>
  <si>
    <t>U–Pb zircon age of 321.9±6.3 Ma of Routh Creek Dacite</t>
  </si>
  <si>
    <t>Das et al. (2021)</t>
  </si>
  <si>
    <t>igneous</t>
  </si>
  <si>
    <t/>
  </si>
  <si>
    <t>sedimentary</t>
  </si>
  <si>
    <t xml:space="preserve">Konstantinov et al. (2014) </t>
  </si>
  <si>
    <t>Poblete et al. (2011)</t>
  </si>
  <si>
    <t>Zheng (1991)</t>
  </si>
  <si>
    <t>Recalculated (k&gt;50 sites only + 45-cut-off)</t>
  </si>
  <si>
    <t>Ar/Ar age of 30.3 ± 0.1 Ma</t>
  </si>
  <si>
    <t>Ar-Ar dating</t>
  </si>
  <si>
    <t>Rb-Sr dating</t>
  </si>
  <si>
    <t>CAMP: 201± 2 Ma from Blackburn et al. (2013)</t>
  </si>
  <si>
    <t>Weighted mean Ar-Ar ages (2-sigma)</t>
  </si>
  <si>
    <t>U/Pb dating</t>
  </si>
  <si>
    <t>Data compiled from their Table 1, only 'A' sites included</t>
  </si>
  <si>
    <t>Mean based on 50 directional groups, after correlation of sampled sections</t>
  </si>
  <si>
    <t>Ar/Ar dating</t>
  </si>
  <si>
    <t>Age range of three distinguished magmatic pulses, based on paleontological and geochronological results of previous studies</t>
  </si>
  <si>
    <t>Stratigraphy and radiomatric ages (recalculated in Renne et al. 2010)</t>
  </si>
  <si>
    <t>Age range of Paraná Magmatic Province based on high-quality radiometric ages</t>
  </si>
  <si>
    <t>Age based on Ar/Ar and K-Ar ages compiled within Abashev et al. (2018)</t>
  </si>
  <si>
    <t>Weighted mean of 11 radiometric ages (U-Pb, Ar-Ar and Rb-Sr)</t>
  </si>
  <si>
    <t>Estimated drillcore age span from radiometric and magnetostratigraphic constraints</t>
  </si>
  <si>
    <t>Estimated age of 285 Ma; U-Pb zircon ages of 277.07±0.61 Ma to 294.63±0.67 Ma</t>
  </si>
  <si>
    <t>Estimated from Fig. 10b; based on multiple U-Pb ages</t>
  </si>
  <si>
    <t>Siberian Traps age</t>
  </si>
  <si>
    <t>Includes data from previous study</t>
  </si>
  <si>
    <t>Recalculated from original data of Ernesto et al. (1990)</t>
  </si>
  <si>
    <t>Significantly different from other Parana paleopoles, may indicate rotations according to authors</t>
  </si>
  <si>
    <t>Recalculated from sites from 3 previous studies obtained from two localities</t>
  </si>
  <si>
    <t>Supersedes Schmidt (1976b)</t>
  </si>
  <si>
    <t>Obtained from Transantarctic mountains</t>
  </si>
  <si>
    <t>Paleopole and parameters from Moulin et al. (2017)</t>
  </si>
  <si>
    <t>Calculated from 15 paleomagnetic units from normal and reversed magnetozone</t>
  </si>
  <si>
    <t>Pole #3</t>
  </si>
  <si>
    <t>Recalculated using sites with k&gt;50 only (site info is provided in SI)</t>
  </si>
  <si>
    <t>Includes data from Yokoyama et al. (2012)</t>
  </si>
  <si>
    <t>Directions and pole corrected for inclination shallowing (f=0.9) by  Fetisova et al. (2018)</t>
  </si>
  <si>
    <t>Derived frrom 18 early Permian sites</t>
  </si>
  <si>
    <t>Parameters obtained from 122 ChRM directions (great-circle directions excluded); obtained from grey flat-lying mudstones</t>
  </si>
  <si>
    <t>Magnetostratigraphic correlation (C30ro to C29ry), GTS2020</t>
  </si>
  <si>
    <t>5 K-Ar ages of 72 ± 2 Ma</t>
  </si>
  <si>
    <t>Storetvedt et al. (1990)</t>
  </si>
  <si>
    <t>van der Voo (1969)</t>
  </si>
  <si>
    <t>van der Voo and Zijderveld (1971)</t>
  </si>
  <si>
    <t>Ar/Ar and U/Pb ages of ~65-70 Ma for Kerala dikes</t>
  </si>
  <si>
    <t>Age in paper is 81 Ma ± 2 Ma, 3 Ma uncertainty according to database</t>
  </si>
  <si>
    <t>Ar/Ar and U/Pb ages of ~85-80 Ma for older dikes</t>
  </si>
  <si>
    <t>Ar/Ar ages from 110.6 to 114.1 Ma (upper and lower interval)</t>
  </si>
  <si>
    <t>Rb/Sr 104 ± Ma</t>
  </si>
  <si>
    <t>K-Ar 229 ± 5</t>
  </si>
  <si>
    <t>40Ar/39Ar age 117±1 Ma (see main DB)</t>
  </si>
  <si>
    <t>Includes data from 2 previous studies</t>
  </si>
  <si>
    <t>Plon changed with 0.1 to follow paper; one site with 120 directions</t>
  </si>
  <si>
    <t>Plon changed from 214.2 (GPDB and T12) to 214.3 (paper)</t>
  </si>
  <si>
    <t>Magnetostratigraphy: ca. 12.8 to 14.0 Ma</t>
  </si>
  <si>
    <t>Ages reported of 32 to 14 Ma, with a concentration at 17 Ma</t>
  </si>
  <si>
    <t>Age range estimated from magnetostratigraphical correlation and radiometric ages</t>
  </si>
  <si>
    <t>Isotopically dated rocks with ages of 18-30 Ma</t>
  </si>
  <si>
    <t>Correlation with polarity timescale, with aid of available radiometric ages</t>
  </si>
  <si>
    <t>Re-assessed by Owen-Smith et al. (2019); found to be identical and thus reliable</t>
  </si>
  <si>
    <t xml:space="preserve">160±10 Ma K-Ar age </t>
  </si>
  <si>
    <t>Pole latitude changed to follow paper</t>
  </si>
  <si>
    <t>Combined data from Nairn (1960) and Opdyke (1967)</t>
  </si>
  <si>
    <t>Combined data from multiple sources</t>
  </si>
  <si>
    <t>Authors note significant difference with coeval paleopoles from North America</t>
  </si>
  <si>
    <t>Kravchinsky et al. (2002)</t>
  </si>
  <si>
    <t>Component 'A' from 5 localities, very high k</t>
  </si>
  <si>
    <t>May represent a secondary magnetization (Edel and Schneider, 1995)</t>
  </si>
  <si>
    <t>Pole and a95 changed to tilt-adjusted values</t>
  </si>
  <si>
    <t>Age and other parameters changed to follow paper</t>
  </si>
  <si>
    <t>Age from single sample only, could not reflect entire age range, but extrusives are interpreted to be part of Siberian Traps volcanism, which is included in age range</t>
  </si>
  <si>
    <t>Includes data of previous study</t>
  </si>
  <si>
    <t>Magnetite, dykes only</t>
  </si>
  <si>
    <t>Pole changed to non-rounded value given in paper</t>
  </si>
  <si>
    <t>Includes data of Bylund and Patchett (1977)</t>
  </si>
  <si>
    <t>Alpha95 changed to non-rounded value</t>
  </si>
  <si>
    <t>Pole changed to non-rounded value given in paper, a95 changed to correspond with paper</t>
  </si>
  <si>
    <t>Includes data of Nawrocki et al. (2005)</t>
  </si>
  <si>
    <t>Obtained from 5 directional groups that include 66 sites in total; K and A95 determined group mean VGPs</t>
  </si>
  <si>
    <t>Magnetostratigraphy: ca. 9.1 to 10.3 Ma</t>
  </si>
  <si>
    <t>Unclear which data is used: 18 sites with K&gt;50 of AD99 approaches value of T12</t>
  </si>
  <si>
    <t>Mean direction and pole calculated for VGPs with plat&gt;45 (see GPDB), this gives N=40 instead of N=47</t>
  </si>
  <si>
    <t>Includes data from Henry and Plessard (1997) and Plenier et al (2002)</t>
  </si>
  <si>
    <t>Pole changed to follow paper (uses 53 reliable sites instead of 60 sites in the GPDB)</t>
  </si>
  <si>
    <t>Mean from GPDB (paper has rounded off values)</t>
  </si>
  <si>
    <t>Stratigraphic ages</t>
  </si>
  <si>
    <t>Includes 15 sites from Butler et al. (1991) from 56-42 Ma basalts; age in T12 is 47 Ma, is changed to 49 Ma</t>
  </si>
  <si>
    <t>Age uncertainty taken as 0.5 Ma</t>
  </si>
  <si>
    <t>Age from GPDB, isotopically dated as 51.6 Ma in paper</t>
  </si>
  <si>
    <t>Age uncertainty from Ganerød et al (2008), referring to Hansen et al. (2002)</t>
  </si>
  <si>
    <t>Age changed to match dating of Torsvik et al. (1998)</t>
  </si>
  <si>
    <t>K-Ar agr 100-105 my,40Ar/39Ar age 116±1 Ma - REFNO 2193</t>
  </si>
  <si>
    <t>40Ar/39Ar age 117±1 Ma</t>
  </si>
  <si>
    <t>40Ar/39Ar 116±1Ma-REFNO 2193; K-Ar 102-107 Ma.</t>
  </si>
  <si>
    <t>Age changed to match estimated age of Parana-Etendeka LIP</t>
  </si>
  <si>
    <t xml:space="preserve">Age from Ganerød et al. (2008) </t>
  </si>
  <si>
    <t>Paper did not provide statistics because of anomalous data distribution; statistics taken from the database</t>
  </si>
  <si>
    <t>Age given by paper (and VDV90) is 49 Ma, instead of 59 Ma</t>
  </si>
  <si>
    <t>Age from Van der Voo (1990), was rounded at 59.0 Ma</t>
  </si>
  <si>
    <t>Assumed Guadalupian age</t>
  </si>
  <si>
    <t>Age changed from 91 Ma to more precise one</t>
  </si>
  <si>
    <t>Paper unavailable; used in Doubrovine et al. (2019)</t>
  </si>
  <si>
    <t>Age taken as 78-111 Ma (including upper confidence bound of Rb-Sr age), consistent with other study of same volcanic complex</t>
  </si>
  <si>
    <t>Mean of flows of single locality</t>
  </si>
  <si>
    <t>May be related to Deccan volcanism</t>
  </si>
  <si>
    <t>Age uncertainty of 1 Ma from Ganerød et al. (2010)</t>
  </si>
  <si>
    <t>Age changed from 60.9 to 59 Ma to follow paper</t>
  </si>
  <si>
    <t>Age changed from 61 Ma to follow constraints in paper</t>
  </si>
  <si>
    <t>Age changed from 61.2 Ma to 58 to follow GPDB</t>
  </si>
  <si>
    <t>Age from Ganerød et al. (2010)</t>
  </si>
  <si>
    <t>Age from Ganerød et al. (2010), flow data are partly unreadable</t>
  </si>
  <si>
    <t>Pole and alpha95 changed slightly following GPDB; N corrected from 24 to 22; age uncertainty from Van der Voo (1990) and GPDB</t>
  </si>
  <si>
    <t>Uncertainty is quoted erroneously in paper</t>
  </si>
  <si>
    <t>sed, CP</t>
  </si>
  <si>
    <t>Only 1 site, 8 samples from syenite rocks; no vector determined but only for one peak demagnetization step</t>
  </si>
  <si>
    <t>Only 1 site with 33 samples</t>
  </si>
  <si>
    <t>Pole and a95 changed to non-rounded value, age changed to include some degree of uncertainty</t>
  </si>
  <si>
    <t>Pole computed from grand mean direction of 42 samples for 3 flows</t>
  </si>
  <si>
    <t>Pole changed to follow paper and GPDB</t>
  </si>
  <si>
    <t>Age changed to GTS20</t>
  </si>
  <si>
    <t>Age from Ganerød et al. (2008), referring to Hansen et al. (2002)</t>
  </si>
  <si>
    <t>Pole latitude changed to value based on site-mean VGPs</t>
  </si>
  <si>
    <t>U/Pb zircon age of 263.5 ± 2.0 Ma</t>
  </si>
  <si>
    <t>Age range from youngest 40Ar/39Ar age of Puesto Viejo volcanics and oldest age of underlying volcaniclastics; fits with ~245 Ma age estimate used in paper</t>
  </si>
  <si>
    <t>Pole changed to non-rounded value and age changed to GTS2020</t>
  </si>
  <si>
    <t>Mean of 32 sample VGPs</t>
  </si>
  <si>
    <t>Mean of 5 paleopoles</t>
  </si>
  <si>
    <t>Age changed to include the entire range of Ar/Ar ages</t>
  </si>
  <si>
    <t>Mixed: tuffs and sandstones</t>
  </si>
  <si>
    <t>Pole changed to non-rounded value given in paper (and GPDB); age changed to GTS2020</t>
  </si>
  <si>
    <t>Superseded by Vizan (1998); includes data from 2 previous studies</t>
  </si>
  <si>
    <t>Pole changed to non-rounded value given in paper (and GPDB); age changed to GTS2012; 163 samples</t>
  </si>
  <si>
    <t>Includes 15 lavas and 14 dykes</t>
  </si>
  <si>
    <t>Sampling location west of Andes</t>
  </si>
  <si>
    <t>Stratigraphic age (Middle Eocene)</t>
  </si>
  <si>
    <t>Watts et al. (1984)</t>
  </si>
  <si>
    <t>Gao et al. (2018)</t>
  </si>
  <si>
    <t>Ar/Ar age of tuff of ~55-53 Ma</t>
  </si>
  <si>
    <t>3 Ar/Ar ages constrain age of ~58-61 Ma</t>
  </si>
  <si>
    <t>Magnetostratigraphy of lava sequences</t>
  </si>
  <si>
    <t>Age from Riisager et al. (2003a)</t>
  </si>
  <si>
    <t>Age estimated from other NAIP sequences</t>
  </si>
  <si>
    <t>K-Ar age of 64±4 Ma</t>
  </si>
  <si>
    <t>Interpreted as remagnetized by subsequent study</t>
  </si>
  <si>
    <t>Barresian (biostratigraphy)</t>
  </si>
  <si>
    <t>Ar/Ar age of 69±1 Ma</t>
  </si>
  <si>
    <t>Paper unavailable</t>
  </si>
  <si>
    <t>Data added per locality instead</t>
  </si>
  <si>
    <t>Biostratigraphy (Cenomanian-Campanian)</t>
  </si>
  <si>
    <t>Biostratigraphy (Cenomanian-Turonian)</t>
  </si>
  <si>
    <t>Biostratigraphy (Upper Jurassic age)</t>
  </si>
  <si>
    <t>Ammonite biostratigraphy: Upper Pliensbachian - Lower Toarcian</t>
  </si>
  <si>
    <t>Age changed to 178-191 Ma following Ar/Ar ages listed in Bergelin et al. (2011, Int J Earth Sci)</t>
  </si>
  <si>
    <t>Biostratigraphhy (Oligocene)</t>
  </si>
  <si>
    <t>Biostratigraphy (Middle to Upper Eocene)</t>
  </si>
  <si>
    <t>authors</t>
  </si>
  <si>
    <t>Rlat</t>
  </si>
  <si>
    <t>Rlon</t>
  </si>
  <si>
    <t>No intersection obtained with E/I curve</t>
  </si>
  <si>
    <t>Too large age uncertainty</t>
  </si>
  <si>
    <t>64 samples from 8 sites of one dykes, high K; too large age uncertainty</t>
  </si>
  <si>
    <t>No stepwise demagnetization, only one step at 450C; too large age uncertainty</t>
  </si>
  <si>
    <t>Late Guadalupian - Early Lopingian</t>
  </si>
  <si>
    <t>Excluded: obtained from deformed belt, rotated relative to stable India</t>
  </si>
  <si>
    <t>Excluded: directions obtained from NRM; too large age uncertainty</t>
  </si>
  <si>
    <t>Excluded: only stable endpoints are used and too large age uncertainty</t>
  </si>
  <si>
    <t>No true PCA applied; too large age uncertainty</t>
  </si>
  <si>
    <t>this study</t>
  </si>
  <si>
    <t>Age changed from 77-84 Ma in GPDB, T12 gives 85 Ma</t>
  </si>
  <si>
    <t>Inconclusive fold test, data may record a ~275 Ma syn-folding remagnetization</t>
  </si>
  <si>
    <t>Zhao et al. (1994)</t>
  </si>
  <si>
    <t>Pan et al. (2005)</t>
  </si>
  <si>
    <t>Zhao et al. (1990,1994)</t>
  </si>
  <si>
    <t>Shi et al. (2002)</t>
  </si>
  <si>
    <t>Urica et al. (2019)</t>
  </si>
  <si>
    <t>Non-published work</t>
  </si>
  <si>
    <t>Combines 2 studies of 37 and 44 flows, the latter collected at three localities</t>
  </si>
  <si>
    <t>Dec and Inc calculated from pole</t>
  </si>
  <si>
    <t>Pole changed to non-rounded value given in paper (and GPDB); age changed to GTS2016</t>
  </si>
  <si>
    <t>Uncorrected for inclination errors (explained in paper); age changed from 92 to 91.5 Ma</t>
  </si>
  <si>
    <t>Pole that combines all Cretaceous sites</t>
  </si>
  <si>
    <t>Ren et al. (2004); Zhu et al. (2008)</t>
  </si>
  <si>
    <t>McDougall and McElhinny (1970)</t>
  </si>
  <si>
    <t>Charles et al. (2011)</t>
  </si>
  <si>
    <t>Siltstones and ironstone shales; pole based on 185 VGPs (instead of 29 sites)</t>
  </si>
  <si>
    <t>Age changed to GTS2020; pole changed to non-rounded value given in paper, based on samples rather than levels</t>
  </si>
  <si>
    <t>Excluded: overall mean of all site-mean poles, some of which are also included as separate entries</t>
  </si>
  <si>
    <t>Excluded: Paganzo basin data, because of likely remagnetization and Andes-related deformation</t>
  </si>
  <si>
    <t>Excluded: dill core oriented using cross-laminations</t>
  </si>
  <si>
    <t>Excluded: includes data from undemagnetized samples</t>
  </si>
  <si>
    <t>No directions or site-level data published; details on statistical parameters also absent</t>
  </si>
  <si>
    <t>Pole changed to include volcanics only (in stead of the mean pole of volcanics and sediments combined)</t>
  </si>
  <si>
    <t>Mean of 8 sections with 17 to 118 ChRM directions</t>
  </si>
  <si>
    <t>Combines site-level data from 3 studies</t>
  </si>
  <si>
    <t>Age estimated from figure with stratigraphic correlation</t>
  </si>
  <si>
    <t>Age based on Ar/Ar age of 250±1.6 of Renne et al. (1995) corresponding with U-Pb ages of 251.2±0.3 Ma of Kamo et al. (1996)</t>
  </si>
  <si>
    <t>Stratigraphic: Late Permian-Early Triassic (GTS2020)</t>
  </si>
  <si>
    <t>Some Precambrian sediments may have been sampled</t>
  </si>
  <si>
    <t>Pole changed to non-rounded value of paper</t>
  </si>
  <si>
    <t>Sites from 3 localities combined</t>
  </si>
  <si>
    <t>Age changed based on correlation of GTS2012</t>
  </si>
  <si>
    <t>Based on 14 sites instead of individual directions</t>
  </si>
  <si>
    <t>Pole changed to non-rounded value of GPDB</t>
  </si>
  <si>
    <t>Age and parameters follow Haldan et al. (2009)</t>
  </si>
  <si>
    <t>Adequate core orientation; great-circle directions excluded, too low K value</t>
  </si>
  <si>
    <t>Used only one site (others have k&gt;100)</t>
  </si>
  <si>
    <t>Pole and statistical parameters based on ChRM directions</t>
  </si>
  <si>
    <t>Pole changed to follow GPDB</t>
  </si>
  <si>
    <t>Age changed following data and TK03 cut-off from Haldan et al. (2009)</t>
  </si>
  <si>
    <t>Data and E/I correction from Haldan et al. (2009)</t>
  </si>
  <si>
    <t>Uncorrected in paper (N&lt;100), 10 samples determined with great circles are excluded, age changed GTS20</t>
  </si>
  <si>
    <t>Age changed to GTS12 (Asselian) and plon changed to value of paper, not corrected in paper (N&lt;100)</t>
  </si>
  <si>
    <t>Unavailable paper with 6 sediment sites; age changed to GTS12</t>
  </si>
  <si>
    <t>From Andean cordillera, too large age uncertainty</t>
  </si>
  <si>
    <t>Fom Andean cordillera, too large age uncertainty</t>
  </si>
  <si>
    <t>Estimated as 290-340 Ma; majority of sites are likely Late Carboniferous</t>
  </si>
  <si>
    <t>Component 'B' from 5 localities, very high k, related to metasomatic alteration of the rocks</t>
  </si>
  <si>
    <t>Combination of overprinted sediments and magmatic body (single) that does not sample PSV sufficiently. reference changed from Pavlov et al. (2007) to original paper</t>
  </si>
  <si>
    <t>Not corrected for inclination shallowing: f=0.71 estimated from comparison with volcanic rocks</t>
  </si>
  <si>
    <t>Stratigraphy: Late Triassic</t>
  </si>
  <si>
    <t>Correlated with magnetostratigraphy</t>
  </si>
  <si>
    <t>Borehole data, oriented using present-day field overprint</t>
  </si>
  <si>
    <t>Age in paper taken as 'ca 200 Ma'; 198-202 Ma age range used to reflect range of published radiometric ages for NW African CAMP volcanism</t>
  </si>
  <si>
    <t>Middle Jurassic (GTS2020)</t>
  </si>
  <si>
    <t>Likely rotated according to Lotfy et al. (2017)</t>
  </si>
  <si>
    <t>Barrington Volcano, New South Wales</t>
  </si>
  <si>
    <t>Tarakohe Quarry, New Zealand (Australian Plate)</t>
  </si>
  <si>
    <t>new K-Ar and Ar/Ar age data confine age to C24r (54-57 Ma, GTS12)</t>
  </si>
  <si>
    <t>Pole changed to follow paper and GPDB; age changed following new timescale (81 Ma was mid-point between 65 and 97 Ma)</t>
  </si>
  <si>
    <t>39 new sites of flows and sills combined with existing data (Ernesto et al., 1990, 1999)</t>
  </si>
  <si>
    <t>Garrawilla volcanics and Nombi extrusives, New South Wales</t>
  </si>
  <si>
    <t>New K-Ar and Ar/Ar ages of 54 to 61.5 Ma</t>
  </si>
  <si>
    <t xml:space="preserve">Ar-Ar age (175 ± 2 Ma) from this newer paper (REFNO 2958), age in original paper (K-Ar: 158 ± 12) is wrong. </t>
  </si>
  <si>
    <t>Newcastle range volcanics</t>
  </si>
  <si>
    <t>Lhuillier and Gilder (2019)</t>
  </si>
  <si>
    <t>Ezcurra Inlet and Point Hennequin groups</t>
  </si>
  <si>
    <t>Robert and Greenwich Island</t>
  </si>
  <si>
    <t>Rolf and Henjes-Kunst (2003)</t>
  </si>
  <si>
    <t>Ka-Ar 78 and 84 Ma</t>
  </si>
  <si>
    <t>Age considered too uncertain to be included by Kent and Irving (2010)</t>
  </si>
  <si>
    <t>Excluded: see comment by Taylor and Roperch (2008)</t>
  </si>
  <si>
    <t>Supersed by Kosterov and Perrin (1996)</t>
  </si>
  <si>
    <t>Kent and Irving (2010) interpret these as related to CAMP volcanism at ~201 Ma</t>
  </si>
  <si>
    <t>Rb-Sr age of 183±3 Ma of Foland and Henderson (1976, EPSL)</t>
  </si>
  <si>
    <t>Lotfy and Elaal (2018)</t>
  </si>
  <si>
    <t>Rb-Sr age of 281±14 Ma (as listed in Van der Voo and Torsvik, 2004)</t>
  </si>
  <si>
    <t>Daly and Pozzi (1976)</t>
  </si>
  <si>
    <t>Recalculated by Van der Voo and Torsvik (2004)</t>
  </si>
  <si>
    <t>Early Rotliegendes (see Van der Voo and Torsvik, 2004)</t>
  </si>
  <si>
    <t>GOOD-1: site-means with a95&lt;15 and n&gt;3</t>
  </si>
  <si>
    <t>Zheng et al. (1991)</t>
  </si>
  <si>
    <t>Dupont-Nivet et al. (2010)</t>
  </si>
  <si>
    <t>Prasad et al. (1998)</t>
  </si>
  <si>
    <t>Radhakrishna and Joseph (2012)</t>
  </si>
  <si>
    <t>Huang et al. (2013)</t>
  </si>
  <si>
    <t>Schult et al. (1982)</t>
  </si>
  <si>
    <t>Charles et al. (2013)</t>
  </si>
  <si>
    <t>Qin et al. (2011)</t>
  </si>
  <si>
    <t>Zhu et al. (2001)</t>
  </si>
  <si>
    <t>Mena et al. (2011)</t>
  </si>
  <si>
    <r>
      <rPr>
        <b/>
        <sz val="12"/>
        <rFont val="Arial"/>
        <family val="2"/>
      </rPr>
      <t>Table S2</t>
    </r>
    <r>
      <rPr>
        <sz val="12"/>
        <rFont val="Arial"/>
        <family val="2"/>
      </rPr>
      <t>. Paleomagnetic database used to compute the global apparent polar wander path for the last 320 Ma. We have listed age constraints, statistical parameters, Euler rotation paramaters and other metadata per paleomagnetic pole used in the parametric re-sampling scheme. For more details, see main text. The grey-colored entries are excluded from the computation of the APWP. See columns 'age constraints', 'comments' and 'reliability' for specific details for a given dataset.
Abbreviations: min_age and max_age = lower and upper boundaries of age uncertainty range; slat/slon = latitude and longitude of (mean) sampling location; N = number of paleomagnetic sites used to compute the paleopole; mDec/mInc = mean declination of inclination; α95/A95 = radius of the 95% confidence circle about the mean of the distribution of directions/VGPs; k/K = Fisher (1953) precision parameter of the distribution of directions/VGPs; plat/plon = paleopole latitude and longitude (south pole); K_est/A95_est = values estimated using formula of Cox (1970, eq. 24); plateID = plate identification number (see Fig. 2 and Table 1); Rlat/Rlon = paleopole latitude and longitude in coordinate frame of South Africa; EP_lat/EP_lon/EP_ang = total reconstruction pole parameters for rotating the paleopole to South Africa coordinates; f = flattening factor (only for sedimentary data), p_std = standard deviation of the assumed normal distributed co-latitudes, obtained from E/I correction (only for sedimentary data); Deenen = indicates whether the N-dependent reliability envelope of Deenen et al. (2011) is satisfied (TRUE or FALSE) or, in case of sediment-derived datasets, the quality grade (A, B or C) following the evaluation scheme of Vaes et al. (2021); excl = reason for exclusion (sed = uncorrected sedimentary data; mix = mixed lithology; CP = data from Colorado Plateau; R = rejected because entry is a duplicate, N &lt; 5, age range &gt; 20 Ma, remagnetized or otherwise considered unreliable, see comments/reliability column); refno = reference number in global paleomagnetic database (Pisarevsky, 2005; Pisarevsky et al., 2022); DB = database in which entry is listed (T12 = Torsvik et al. (2012), PSV10 = Cromwell et al. (2018) or added in this study).</t>
    </r>
  </si>
  <si>
    <t>Dalrymple et al. (1975)</t>
  </si>
  <si>
    <t>Hounslow et al. (2017)</t>
  </si>
  <si>
    <t>Domeier et al. (2021)</t>
  </si>
  <si>
    <t>Berthold et al.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</si>
</sst>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u/>
      <sz val="12"/>
      <color theme="10"/>
      <name val="Calibri"/>
      <family val="2"/>
      <scheme val="minor"/>
    </font>
    <font>
      <sz val="11"/>
      <color theme="1"/>
      <name val="Calibri"/>
      <family val="2"/>
      <scheme val="minor"/>
    </font>
    <font>
      <sz val="11"/>
      <name val="Arial"/>
      <family val="2"/>
    </font>
    <font>
      <sz val="10"/>
      <name val="Arial"/>
      <family val="2"/>
    </font>
    <font>
      <sz val="11"/>
      <color theme="1"/>
      <name val="Arial"/>
      <family val="2"/>
    </font>
    <font>
      <b/>
      <sz val="10"/>
      <color theme="1"/>
      <name val="Arial"/>
      <family val="2"/>
    </font>
    <font>
      <i/>
      <sz val="10"/>
      <name val="Arial"/>
      <family val="2"/>
    </font>
    <font>
      <b/>
      <sz val="10"/>
      <name val="Arial"/>
      <family val="2"/>
    </font>
    <font>
      <sz val="10"/>
      <color theme="1"/>
      <name val="Arial"/>
      <family val="2"/>
    </font>
    <font>
      <sz val="10"/>
      <color rgb="FF000000"/>
      <name val="Arial"/>
      <family val="2"/>
    </font>
    <font>
      <i/>
      <sz val="10"/>
      <color theme="1"/>
      <name val="Arial"/>
      <family val="2"/>
    </font>
    <font>
      <u/>
      <sz val="10"/>
      <color theme="1"/>
      <name val="Arial"/>
      <family val="2"/>
    </font>
    <font>
      <sz val="10"/>
      <color rgb="FFFF0000"/>
      <name val="Arial"/>
      <family val="2"/>
    </font>
    <font>
      <sz val="10"/>
      <color theme="1"/>
      <name val="Calibri"/>
      <family val="2"/>
      <scheme val="minor"/>
    </font>
    <font>
      <b/>
      <sz val="11"/>
      <color theme="1"/>
      <name val="Arial"/>
      <family val="2"/>
    </font>
    <font>
      <b/>
      <sz val="12"/>
      <color theme="1"/>
      <name val="Arial"/>
      <family val="2"/>
    </font>
    <font>
      <b/>
      <sz val="12"/>
      <name val="Arial"/>
      <family val="2"/>
    </font>
    <font>
      <sz val="12"/>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applyNumberFormat="0" applyFill="0" applyBorder="0" applyAlignment="0" applyProtection="0"/>
    <xf numFmtId="0" fontId="2" fillId="0" borderId="0"/>
  </cellStyleXfs>
  <cellXfs count="95">
    <xf numFmtId="0" fontId="0" fillId="0" borderId="0" xfId="0"/>
    <xf numFmtId="0" fontId="3"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3"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164" fontId="4" fillId="0" borderId="0" xfId="0" applyNumberFormat="1" applyFont="1" applyAlignment="1">
      <alignment horizontal="center" vertical="center"/>
    </xf>
    <xf numFmtId="164" fontId="9" fillId="0" borderId="0" xfId="0" applyNumberFormat="1"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4" fillId="0" borderId="0" xfId="0" applyFont="1" applyAlignment="1">
      <alignment vertical="center"/>
    </xf>
    <xf numFmtId="164" fontId="6" fillId="0" borderId="0" xfId="0" applyNumberFormat="1" applyFont="1" applyAlignment="1">
      <alignment horizontal="center" vertical="center"/>
    </xf>
    <xf numFmtId="0" fontId="9" fillId="0" borderId="0" xfId="0" applyFont="1" applyAlignment="1">
      <alignment horizontal="left" vertical="center"/>
    </xf>
    <xf numFmtId="0" fontId="4" fillId="0" borderId="0" xfId="0" applyFont="1" applyAlignment="1">
      <alignment horizontal="left" vertical="center"/>
    </xf>
    <xf numFmtId="0" fontId="9" fillId="0" borderId="0" xfId="0" applyFont="1"/>
    <xf numFmtId="0" fontId="13" fillId="0" borderId="0" xfId="0" applyFont="1" applyAlignment="1">
      <alignment vertical="center"/>
    </xf>
    <xf numFmtId="1" fontId="4" fillId="0" borderId="0" xfId="0" applyNumberFormat="1" applyFont="1" applyAlignment="1">
      <alignment horizontal="left" vertical="center"/>
    </xf>
    <xf numFmtId="0" fontId="10" fillId="0" borderId="0" xfId="0" applyFont="1" applyAlignment="1">
      <alignment vertical="center"/>
    </xf>
    <xf numFmtId="0" fontId="0" fillId="0" borderId="0" xfId="0" applyAlignment="1">
      <alignment horizontal="center"/>
    </xf>
    <xf numFmtId="0" fontId="9" fillId="0" borderId="0" xfId="0" applyFont="1" applyAlignment="1">
      <alignment horizontal="center"/>
    </xf>
    <xf numFmtId="0" fontId="7" fillId="0" borderId="0" xfId="0" applyFont="1" applyAlignment="1">
      <alignment vertical="center"/>
    </xf>
    <xf numFmtId="0" fontId="14" fillId="0" borderId="0" xfId="0" applyFont="1" applyAlignment="1">
      <alignment horizontal="center"/>
    </xf>
    <xf numFmtId="0" fontId="15"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11" fillId="0" borderId="0" xfId="0" applyFont="1" applyAlignment="1">
      <alignment horizontal="left" vertical="center"/>
    </xf>
    <xf numFmtId="2" fontId="9" fillId="0" borderId="0" xfId="0" applyNumberFormat="1" applyFont="1" applyAlignment="1">
      <alignment horizontal="center" vertical="center"/>
    </xf>
    <xf numFmtId="2" fontId="6" fillId="0" borderId="0" xfId="0" applyNumberFormat="1" applyFont="1" applyAlignment="1">
      <alignment horizontal="center" vertical="center"/>
    </xf>
    <xf numFmtId="1" fontId="9" fillId="0" borderId="0" xfId="0" applyNumberFormat="1" applyFont="1" applyAlignment="1">
      <alignment horizontal="center" vertical="center"/>
    </xf>
    <xf numFmtId="164" fontId="9" fillId="0" borderId="0" xfId="0" applyNumberFormat="1" applyFont="1" applyAlignment="1">
      <alignment vertical="center"/>
    </xf>
    <xf numFmtId="0" fontId="8" fillId="0" borderId="0" xfId="0" applyFont="1" applyAlignment="1">
      <alignment horizontal="center" vertical="center"/>
    </xf>
    <xf numFmtId="0" fontId="16" fillId="0" borderId="1" xfId="0" applyFont="1" applyBorder="1" applyAlignment="1">
      <alignment vertical="center"/>
    </xf>
    <xf numFmtId="1" fontId="6" fillId="0" borderId="0" xfId="0" applyNumberFormat="1" applyFont="1" applyAlignment="1">
      <alignment horizontal="center" vertical="center"/>
    </xf>
    <xf numFmtId="0" fontId="16" fillId="0" borderId="1" xfId="0" applyFont="1" applyBorder="1" applyAlignment="1">
      <alignment horizontal="center" vertical="center"/>
    </xf>
    <xf numFmtId="0" fontId="0" fillId="0" borderId="0" xfId="0" applyAlignment="1">
      <alignment vertical="center"/>
    </xf>
    <xf numFmtId="164" fontId="9" fillId="0" borderId="0" xfId="0" applyNumberFormat="1" applyFont="1" applyAlignment="1">
      <alignment horizontal="center"/>
    </xf>
    <xf numFmtId="164" fontId="14" fillId="0" borderId="0" xfId="0" applyNumberFormat="1" applyFont="1" applyAlignment="1">
      <alignment horizontal="center"/>
    </xf>
    <xf numFmtId="0" fontId="14" fillId="0" borderId="0" xfId="0" applyFont="1"/>
    <xf numFmtId="0" fontId="9" fillId="0" borderId="0" xfId="0" applyFont="1" applyAlignment="1" applyProtection="1">
      <alignment horizontal="left" vertical="center"/>
      <protection locked="0"/>
    </xf>
    <xf numFmtId="164" fontId="9" fillId="0" borderId="0" xfId="0" applyNumberFormat="1" applyFont="1" applyAlignment="1">
      <alignment horizontal="left" vertical="center"/>
    </xf>
    <xf numFmtId="1" fontId="9" fillId="0" borderId="0" xfId="0" applyNumberFormat="1" applyFont="1" applyAlignment="1">
      <alignment horizontal="left" vertical="center"/>
    </xf>
    <xf numFmtId="164" fontId="5" fillId="0" borderId="0" xfId="0" applyNumberFormat="1" applyFont="1" applyAlignment="1">
      <alignment horizontal="center" vertical="center"/>
    </xf>
    <xf numFmtId="164" fontId="14" fillId="0" borderId="0" xfId="0" applyNumberFormat="1" applyFont="1" applyAlignment="1">
      <alignment horizontal="center" vertical="center"/>
    </xf>
    <xf numFmtId="0" fontId="6" fillId="0" borderId="0" xfId="0" applyFont="1" applyAlignment="1">
      <alignment horizontal="left" vertical="center"/>
    </xf>
    <xf numFmtId="164" fontId="0" fillId="0" borderId="0" xfId="0" applyNumberFormat="1" applyAlignment="1">
      <alignment horizontal="center" vertical="center"/>
    </xf>
    <xf numFmtId="0" fontId="9" fillId="0" borderId="0" xfId="0" applyFont="1" applyAlignment="1" applyProtection="1">
      <alignment vertical="center"/>
      <protection locked="0"/>
    </xf>
    <xf numFmtId="164" fontId="9" fillId="0" borderId="0" xfId="0" applyNumberFormat="1" applyFont="1" applyAlignment="1">
      <alignment horizontal="center" vertical="center" wrapText="1"/>
    </xf>
    <xf numFmtId="0" fontId="9" fillId="2" borderId="0" xfId="0" applyFont="1" applyFill="1" applyAlignment="1">
      <alignment horizontal="left" vertical="center"/>
    </xf>
    <xf numFmtId="2" fontId="9" fillId="2" borderId="0" xfId="0" applyNumberFormat="1" applyFont="1" applyFill="1" applyAlignment="1">
      <alignment horizontal="center" vertical="center"/>
    </xf>
    <xf numFmtId="2" fontId="6" fillId="2" borderId="0" xfId="0" applyNumberFormat="1" applyFont="1" applyFill="1" applyAlignment="1">
      <alignment horizontal="center" vertical="center"/>
    </xf>
    <xf numFmtId="0" fontId="9" fillId="2" borderId="0" xfId="0" applyFont="1" applyFill="1" applyAlignment="1">
      <alignment horizontal="center" vertical="center"/>
    </xf>
    <xf numFmtId="1" fontId="6" fillId="2" borderId="0" xfId="0" applyNumberFormat="1" applyFont="1" applyFill="1" applyAlignment="1">
      <alignment horizontal="center" vertical="center"/>
    </xf>
    <xf numFmtId="164" fontId="9" fillId="2" borderId="0" xfId="0" applyNumberFormat="1" applyFont="1" applyFill="1" applyAlignment="1">
      <alignment horizontal="center" vertical="center"/>
    </xf>
    <xf numFmtId="164" fontId="6" fillId="2" borderId="0" xfId="0" applyNumberFormat="1" applyFont="1" applyFill="1" applyAlignment="1">
      <alignment horizontal="center" vertical="center"/>
    </xf>
    <xf numFmtId="0" fontId="9" fillId="2" borderId="0" xfId="0" applyFont="1" applyFill="1" applyAlignment="1">
      <alignment vertical="center"/>
    </xf>
    <xf numFmtId="0" fontId="0" fillId="2" borderId="0" xfId="0" applyFill="1"/>
    <xf numFmtId="0" fontId="6" fillId="2" borderId="0" xfId="0" applyFont="1" applyFill="1" applyAlignment="1">
      <alignment horizontal="center" vertical="center"/>
    </xf>
    <xf numFmtId="1" fontId="9" fillId="2" borderId="0" xfId="0" applyNumberFormat="1" applyFont="1" applyFill="1" applyAlignment="1">
      <alignment horizontal="center" vertical="center"/>
    </xf>
    <xf numFmtId="0" fontId="9" fillId="2" borderId="0" xfId="0" applyFont="1" applyFill="1"/>
    <xf numFmtId="164" fontId="9" fillId="2" borderId="0" xfId="0" applyNumberFormat="1" applyFont="1" applyFill="1" applyAlignment="1">
      <alignment horizontal="center"/>
    </xf>
    <xf numFmtId="164" fontId="9" fillId="2" borderId="0" xfId="0" applyNumberFormat="1" applyFont="1" applyFill="1" applyAlignment="1">
      <alignment vertical="center"/>
    </xf>
    <xf numFmtId="0" fontId="12" fillId="2" borderId="0" xfId="1" applyFont="1" applyFill="1" applyBorder="1" applyAlignment="1">
      <alignment horizontal="center" vertical="center"/>
    </xf>
    <xf numFmtId="164" fontId="14" fillId="2" borderId="0" xfId="0" applyNumberFormat="1" applyFont="1" applyFill="1" applyAlignment="1">
      <alignment horizontal="center"/>
    </xf>
    <xf numFmtId="0" fontId="9" fillId="2" borderId="0" xfId="0" applyFont="1" applyFill="1" applyAlignment="1" applyProtection="1">
      <alignment horizontal="left" vertical="center"/>
      <protection locked="0"/>
    </xf>
    <xf numFmtId="0" fontId="9" fillId="2" borderId="0" xfId="0" applyFont="1" applyFill="1" applyAlignment="1" applyProtection="1">
      <alignment vertical="center"/>
      <protection locked="0"/>
    </xf>
    <xf numFmtId="0" fontId="9" fillId="2" borderId="0" xfId="0" applyFont="1" applyFill="1" applyAlignment="1">
      <alignment vertical="center" wrapText="1"/>
    </xf>
    <xf numFmtId="0" fontId="8" fillId="2" borderId="0" xfId="0" applyFont="1" applyFill="1" applyAlignment="1">
      <alignment vertical="center"/>
    </xf>
    <xf numFmtId="0" fontId="4" fillId="2" borderId="0" xfId="0" applyFont="1" applyFill="1" applyAlignment="1">
      <alignment vertical="center"/>
    </xf>
    <xf numFmtId="0" fontId="13" fillId="2" borderId="0" xfId="0" applyFont="1" applyFill="1" applyAlignment="1">
      <alignment vertical="center"/>
    </xf>
    <xf numFmtId="164" fontId="0" fillId="2" borderId="0" xfId="0" applyNumberFormat="1" applyFill="1" applyAlignment="1">
      <alignment horizontal="center"/>
    </xf>
    <xf numFmtId="164" fontId="9" fillId="2" borderId="0" xfId="0" applyNumberFormat="1" applyFont="1" applyFill="1" applyAlignment="1" applyProtection="1">
      <alignment horizontal="center" vertical="center"/>
      <protection locked="0"/>
    </xf>
    <xf numFmtId="164" fontId="14" fillId="2" borderId="0" xfId="0" applyNumberFormat="1" applyFont="1" applyFill="1" applyAlignment="1">
      <alignment horizontal="center" vertical="center"/>
    </xf>
    <xf numFmtId="0" fontId="10" fillId="2" borderId="0" xfId="0" applyFont="1" applyFill="1"/>
    <xf numFmtId="0" fontId="14" fillId="2" borderId="0" xfId="0" applyFont="1" applyFill="1"/>
    <xf numFmtId="0" fontId="9" fillId="2" borderId="0" xfId="0" applyFont="1" applyFill="1" applyAlignment="1" applyProtection="1">
      <alignment horizontal="center" vertical="center"/>
      <protection locked="0"/>
    </xf>
    <xf numFmtId="0" fontId="10" fillId="2" borderId="0" xfId="0" applyFont="1" applyFill="1" applyAlignment="1">
      <alignment vertical="center"/>
    </xf>
    <xf numFmtId="0" fontId="5" fillId="2" borderId="0" xfId="0" applyFont="1" applyFill="1" applyAlignment="1">
      <alignment horizontal="left" vertical="center"/>
    </xf>
    <xf numFmtId="1" fontId="9" fillId="2" borderId="0" xfId="0" applyNumberFormat="1" applyFont="1" applyFill="1" applyAlignment="1">
      <alignment horizontal="left" vertical="center"/>
    </xf>
    <xf numFmtId="0" fontId="5" fillId="2" borderId="0" xfId="0" applyFont="1" applyFill="1" applyAlignment="1">
      <alignment vertical="center"/>
    </xf>
    <xf numFmtId="0" fontId="0" fillId="2" borderId="0" xfId="0" applyFill="1" applyAlignment="1">
      <alignment vertical="center"/>
    </xf>
    <xf numFmtId="0" fontId="4" fillId="2" borderId="0" xfId="0" applyFont="1" applyFill="1" applyAlignment="1">
      <alignment horizontal="center" vertical="center"/>
    </xf>
    <xf numFmtId="0" fontId="9" fillId="2" borderId="0" xfId="2" applyFont="1" applyFill="1" applyAlignment="1">
      <alignment vertical="center"/>
    </xf>
    <xf numFmtId="164" fontId="9" fillId="2" borderId="0" xfId="2" applyNumberFormat="1" applyFont="1" applyFill="1" applyAlignment="1">
      <alignment horizontal="center" vertical="center"/>
    </xf>
    <xf numFmtId="164" fontId="6" fillId="2" borderId="0" xfId="2" applyNumberFormat="1" applyFont="1" applyFill="1" applyAlignment="1">
      <alignment horizontal="center" vertical="center"/>
    </xf>
    <xf numFmtId="2" fontId="9" fillId="2" borderId="0" xfId="2" applyNumberFormat="1" applyFont="1" applyFill="1" applyAlignment="1">
      <alignment horizontal="center" vertical="center"/>
    </xf>
    <xf numFmtId="1" fontId="6" fillId="2" borderId="0" xfId="2" applyNumberFormat="1" applyFont="1" applyFill="1" applyAlignment="1">
      <alignment horizontal="center" vertical="center"/>
    </xf>
    <xf numFmtId="0" fontId="9" fillId="2" borderId="0" xfId="2" applyFont="1" applyFill="1" applyAlignment="1">
      <alignment horizontal="center" vertical="center"/>
    </xf>
    <xf numFmtId="0" fontId="9" fillId="2" borderId="0" xfId="2" applyFont="1" applyFill="1" applyAlignment="1">
      <alignment horizontal="left" vertical="center"/>
    </xf>
    <xf numFmtId="0" fontId="6" fillId="2" borderId="0" xfId="2" applyFont="1" applyFill="1" applyAlignment="1">
      <alignment horizontal="center" vertical="center"/>
    </xf>
    <xf numFmtId="0" fontId="3" fillId="0" borderId="0" xfId="0" applyFont="1" applyAlignment="1">
      <alignment horizontal="center" vertical="center"/>
    </xf>
    <xf numFmtId="0" fontId="10" fillId="0" borderId="0" xfId="0" applyFont="1"/>
    <xf numFmtId="0" fontId="9" fillId="0" borderId="0" xfId="0" applyFont="1" applyAlignment="1">
      <alignment horizontal="center" vertical="center"/>
    </xf>
    <xf numFmtId="0" fontId="18" fillId="0" borderId="0" xfId="0" applyFont="1" applyAlignment="1">
      <alignment horizontal="left" vertical="center" wrapText="1"/>
    </xf>
  </cellXfs>
  <cellStyles count="3">
    <cellStyle name="Hyperlink" xfId="1" builtinId="8"/>
    <cellStyle name="Normal" xfId="0" builtinId="0"/>
    <cellStyle name="Normal 2" xfId="2" xr:uid="{926CAD5D-5E2F-D04E-939A-CF62548243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78B-70F7-834D-AF5B-2E7D103A994D}">
  <dimension ref="A1:FP759"/>
  <sheetViews>
    <sheetView tabSelected="1" zoomScaleNormal="150" workbookViewId="0">
      <pane ySplit="3" topLeftCell="A4" activePane="bottomLeft" state="frozen"/>
      <selection activeCell="C295" sqref="C295"/>
      <selection pane="bottomLeft" activeCell="F20" sqref="F20"/>
    </sheetView>
  </sheetViews>
  <sheetFormatPr baseColWidth="10" defaultColWidth="9.1640625" defaultRowHeight="15" x14ac:dyDescent="0.2"/>
  <cols>
    <col min="1" max="1" width="33.83203125" style="1" customWidth="1"/>
    <col min="2" max="2" width="12.1640625" style="3" customWidth="1"/>
    <col min="3" max="3" width="11" style="3" customWidth="1"/>
    <col min="4" max="4" width="8.1640625" style="24" customWidth="1"/>
    <col min="5" max="6" width="8.6640625" style="3" customWidth="1"/>
    <col min="7" max="7" width="6.1640625" style="24" customWidth="1"/>
    <col min="8" max="8" width="7.5" style="3" customWidth="1"/>
    <col min="9" max="9" width="6.5" style="3" customWidth="1"/>
    <col min="10" max="11" width="7.5" style="3" customWidth="1"/>
    <col min="12" max="12" width="7" style="24" customWidth="1"/>
    <col min="13" max="13" width="6.5" style="24" customWidth="1"/>
    <col min="14" max="14" width="5.6640625" style="3" customWidth="1"/>
    <col min="15" max="15" width="5.1640625" style="3" customWidth="1"/>
    <col min="16" max="16" width="8.1640625" style="21" customWidth="1"/>
    <col min="17" max="17" width="9.33203125" style="20" customWidth="1"/>
    <col min="18" max="18" width="7.5" style="7" customWidth="1"/>
    <col min="19" max="20" width="9.1640625" style="13" customWidth="1"/>
    <col min="21" max="23" width="9.1640625" style="8" customWidth="1"/>
    <col min="24" max="24" width="13.1640625" style="5" customWidth="1"/>
    <col min="25" max="25" width="6" style="3" customWidth="1"/>
    <col min="26" max="26" width="6.33203125" style="3" customWidth="1"/>
    <col min="27" max="27" width="9.1640625" style="2" customWidth="1"/>
    <col min="28" max="28" width="9.1640625" style="5" customWidth="1"/>
    <col min="29" max="29" width="28" style="25" customWidth="1"/>
    <col min="30" max="30" width="7.1640625" style="1" customWidth="1"/>
    <col min="31" max="31" width="9.6640625" style="5" bestFit="1" customWidth="1"/>
    <col min="32" max="32" width="35.1640625" style="1" customWidth="1"/>
    <col min="33" max="33" width="49" style="4" customWidth="1"/>
    <col min="34" max="34" width="42.83203125" style="1" customWidth="1"/>
    <col min="35" max="35" width="9.1640625" style="1"/>
    <col min="36" max="36" width="9.1640625" style="91"/>
    <col min="37" max="16384" width="9.1640625" style="1"/>
  </cols>
  <sheetData>
    <row r="1" spans="1:172" ht="147" customHeight="1" x14ac:dyDescent="0.2">
      <c r="A1" s="94" t="s">
        <v>1462</v>
      </c>
      <c r="B1" s="94"/>
      <c r="C1" s="94"/>
      <c r="D1" s="94"/>
      <c r="E1" s="94"/>
      <c r="F1" s="94"/>
      <c r="G1" s="94"/>
      <c r="H1" s="94"/>
      <c r="I1" s="94"/>
      <c r="J1" s="94"/>
      <c r="K1" s="94"/>
      <c r="L1" s="94"/>
      <c r="M1" s="94"/>
      <c r="N1" s="94"/>
      <c r="O1" s="94"/>
      <c r="P1" s="94"/>
      <c r="Q1" s="94"/>
      <c r="R1" s="94"/>
      <c r="S1" s="94"/>
      <c r="T1" s="94"/>
      <c r="U1" s="94"/>
      <c r="V1" s="94"/>
      <c r="W1" s="94"/>
      <c r="X1" s="94"/>
      <c r="Y1" s="94"/>
      <c r="Z1" s="94"/>
      <c r="AA1" s="94"/>
    </row>
    <row r="2" spans="1:172" ht="13.5" customHeight="1" x14ac:dyDescent="0.2">
      <c r="A2" s="12"/>
      <c r="B2" s="93"/>
      <c r="C2" s="93"/>
      <c r="D2" s="26"/>
      <c r="E2" s="10"/>
      <c r="F2" s="10"/>
      <c r="G2" s="26"/>
      <c r="H2" s="93"/>
      <c r="I2" s="93"/>
      <c r="J2" s="10"/>
      <c r="K2" s="10"/>
      <c r="L2" s="26"/>
      <c r="M2" s="26"/>
      <c r="N2" s="10"/>
      <c r="O2" s="10"/>
      <c r="Q2" s="23"/>
      <c r="S2" s="6"/>
      <c r="T2" s="6"/>
      <c r="U2" s="2"/>
      <c r="V2" s="2"/>
      <c r="W2" s="2"/>
      <c r="X2" s="7"/>
      <c r="Y2" s="10"/>
      <c r="Z2" s="10"/>
      <c r="AB2" s="7"/>
      <c r="AC2" s="27"/>
      <c r="AD2" s="22"/>
      <c r="AE2" s="7"/>
      <c r="AF2" s="12"/>
      <c r="AG2" s="15"/>
      <c r="AH2" s="12"/>
    </row>
    <row r="3" spans="1:172" s="33" customFormat="1" ht="20" customHeight="1" thickBot="1" x14ac:dyDescent="0.25">
      <c r="A3" s="35" t="s">
        <v>0</v>
      </c>
      <c r="B3" s="35" t="s">
        <v>1</v>
      </c>
      <c r="C3" s="35" t="s">
        <v>2</v>
      </c>
      <c r="D3" s="35" t="s">
        <v>3</v>
      </c>
      <c r="E3" s="35" t="s">
        <v>4</v>
      </c>
      <c r="F3" s="35" t="s">
        <v>5</v>
      </c>
      <c r="G3" s="35" t="s">
        <v>6</v>
      </c>
      <c r="H3" s="35" t="s">
        <v>7</v>
      </c>
      <c r="I3" s="35" t="s">
        <v>8</v>
      </c>
      <c r="J3" s="35" t="s">
        <v>9</v>
      </c>
      <c r="K3" s="35" t="s">
        <v>10</v>
      </c>
      <c r="L3" s="35" t="s">
        <v>11</v>
      </c>
      <c r="M3" s="35" t="s">
        <v>12</v>
      </c>
      <c r="N3" s="35" t="s">
        <v>13</v>
      </c>
      <c r="O3" s="35" t="s">
        <v>14</v>
      </c>
      <c r="P3" s="35" t="s">
        <v>29</v>
      </c>
      <c r="Q3" s="35" t="s">
        <v>30</v>
      </c>
      <c r="R3" s="35" t="s">
        <v>15</v>
      </c>
      <c r="S3" s="35" t="s">
        <v>1358</v>
      </c>
      <c r="T3" s="35" t="s">
        <v>1359</v>
      </c>
      <c r="U3" s="35" t="s">
        <v>26</v>
      </c>
      <c r="V3" s="35" t="s">
        <v>27</v>
      </c>
      <c r="W3" s="35" t="s">
        <v>28</v>
      </c>
      <c r="X3" s="35" t="s">
        <v>16</v>
      </c>
      <c r="Y3" s="35" t="s">
        <v>17</v>
      </c>
      <c r="Z3" s="35" t="s">
        <v>18</v>
      </c>
      <c r="AA3" s="35" t="s">
        <v>24</v>
      </c>
      <c r="AB3" s="35" t="s">
        <v>25</v>
      </c>
      <c r="AC3" s="35" t="s">
        <v>1357</v>
      </c>
      <c r="AD3" s="35" t="s">
        <v>19</v>
      </c>
      <c r="AE3" s="35" t="s">
        <v>23</v>
      </c>
      <c r="AF3" s="35" t="s">
        <v>22</v>
      </c>
      <c r="AG3" s="35" t="s">
        <v>20</v>
      </c>
      <c r="AH3" s="35" t="s">
        <v>21</v>
      </c>
      <c r="AJ3" s="35"/>
    </row>
    <row r="4" spans="1:172" s="75" customFormat="1" ht="15" customHeight="1" x14ac:dyDescent="0.2">
      <c r="A4" s="14" t="s">
        <v>263</v>
      </c>
      <c r="B4" s="9">
        <v>38</v>
      </c>
      <c r="C4" s="9">
        <v>40</v>
      </c>
      <c r="D4" s="13">
        <v>39</v>
      </c>
      <c r="E4" s="9">
        <v>70.400000000000006</v>
      </c>
      <c r="F4" s="9">
        <v>305.2</v>
      </c>
      <c r="G4" s="34">
        <v>13</v>
      </c>
      <c r="H4" s="9">
        <v>144.4</v>
      </c>
      <c r="I4" s="9">
        <v>-76</v>
      </c>
      <c r="J4" s="7">
        <v>32.700000000000003</v>
      </c>
      <c r="K4" s="7">
        <v>7.4</v>
      </c>
      <c r="L4" s="13">
        <v>-76.3</v>
      </c>
      <c r="M4" s="6">
        <v>21.5</v>
      </c>
      <c r="N4" s="9">
        <v>32.700000000000003</v>
      </c>
      <c r="O4" s="9">
        <v>7.4</v>
      </c>
      <c r="P4" s="9" t="s">
        <v>1203</v>
      </c>
      <c r="Q4" s="9" t="s">
        <v>1203</v>
      </c>
      <c r="R4" s="7">
        <v>102</v>
      </c>
      <c r="S4" s="13">
        <v>-74.986767711735794</v>
      </c>
      <c r="T4" s="13">
        <v>41.997665495806402</v>
      </c>
      <c r="U4" s="9">
        <v>75.447898783584407</v>
      </c>
      <c r="V4" s="9">
        <v>3.9021700116392801</v>
      </c>
      <c r="W4" s="9">
        <v>11.164094445869001</v>
      </c>
      <c r="X4" s="7" t="s">
        <v>1202</v>
      </c>
      <c r="Y4" s="10"/>
      <c r="Z4" s="10"/>
      <c r="AA4" s="10" t="b">
        <v>1</v>
      </c>
      <c r="AB4" s="7">
        <v>0</v>
      </c>
      <c r="AC4" s="14" t="s">
        <v>264</v>
      </c>
      <c r="AD4" s="7"/>
      <c r="AE4" s="7" t="s">
        <v>147</v>
      </c>
      <c r="AF4" s="10" t="s">
        <v>265</v>
      </c>
      <c r="AG4" s="14"/>
      <c r="AH4" s="10"/>
      <c r="AI4" s="39"/>
      <c r="AJ4" s="32"/>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39"/>
      <c r="DK4" s="39"/>
      <c r="DL4" s="39"/>
      <c r="DM4" s="39"/>
      <c r="DN4" s="39"/>
      <c r="DO4" s="39"/>
      <c r="DP4" s="39"/>
      <c r="DQ4" s="39"/>
      <c r="DR4" s="39"/>
      <c r="DS4" s="39"/>
      <c r="DT4" s="39"/>
      <c r="DU4" s="39"/>
      <c r="DV4" s="39"/>
      <c r="DW4" s="39"/>
      <c r="DX4" s="39"/>
      <c r="DY4" s="39"/>
      <c r="DZ4" s="39"/>
      <c r="EA4" s="39"/>
      <c r="EB4" s="39"/>
      <c r="EC4" s="39"/>
      <c r="ED4" s="39"/>
      <c r="EE4" s="39"/>
      <c r="EF4" s="39"/>
      <c r="EG4" s="39"/>
      <c r="EH4" s="39"/>
      <c r="EI4" s="39"/>
      <c r="EJ4" s="39"/>
      <c r="EK4" s="39"/>
      <c r="EL4" s="39"/>
      <c r="EM4" s="39"/>
      <c r="EN4" s="39"/>
      <c r="EO4" s="39"/>
      <c r="EP4" s="39"/>
      <c r="EQ4" s="39"/>
      <c r="ER4" s="39"/>
      <c r="ES4" s="39"/>
      <c r="ET4" s="39"/>
      <c r="EU4" s="39"/>
      <c r="EV4" s="39"/>
      <c r="EW4" s="39"/>
      <c r="EX4" s="39"/>
      <c r="EY4" s="39"/>
      <c r="EZ4" s="39"/>
      <c r="FA4" s="39"/>
      <c r="FB4" s="39"/>
      <c r="FC4" s="39"/>
      <c r="FD4" s="39"/>
      <c r="FE4" s="39"/>
      <c r="FF4" s="39"/>
      <c r="FG4" s="39"/>
      <c r="FH4" s="39"/>
      <c r="FI4" s="39"/>
      <c r="FJ4" s="39"/>
      <c r="FK4" s="39"/>
      <c r="FL4" s="39"/>
      <c r="FM4" s="39"/>
      <c r="FN4" s="39"/>
      <c r="FO4" s="39"/>
      <c r="FP4" s="39"/>
    </row>
    <row r="5" spans="1:172" s="75" customFormat="1" ht="15" customHeight="1" x14ac:dyDescent="0.2">
      <c r="A5" s="14" t="s">
        <v>280</v>
      </c>
      <c r="B5" s="9">
        <v>53</v>
      </c>
      <c r="C5" s="9">
        <v>55</v>
      </c>
      <c r="D5" s="13">
        <v>54</v>
      </c>
      <c r="E5" s="9">
        <v>70.709999999999994</v>
      </c>
      <c r="F5" s="9">
        <f>360-54.55</f>
        <v>305.45</v>
      </c>
      <c r="G5" s="34">
        <v>20</v>
      </c>
      <c r="H5" s="9">
        <v>344</v>
      </c>
      <c r="I5" s="9">
        <v>70.7</v>
      </c>
      <c r="J5" s="9">
        <v>27.8</v>
      </c>
      <c r="K5" s="9">
        <v>6.3</v>
      </c>
      <c r="L5" s="13">
        <v>-74.599999999999994</v>
      </c>
      <c r="M5" s="13">
        <v>339.4</v>
      </c>
      <c r="N5" s="9">
        <v>11.1</v>
      </c>
      <c r="O5" s="9">
        <v>10.3</v>
      </c>
      <c r="P5" s="9" t="s">
        <v>1203</v>
      </c>
      <c r="Q5" s="9" t="s">
        <v>1203</v>
      </c>
      <c r="R5" s="7">
        <v>102</v>
      </c>
      <c r="S5" s="13">
        <v>-77.615543042939706</v>
      </c>
      <c r="T5" s="13">
        <v>11.025378490314999</v>
      </c>
      <c r="U5" s="9">
        <v>70.588932825113602</v>
      </c>
      <c r="V5" s="9">
        <v>30.676517001670799</v>
      </c>
      <c r="W5" s="9">
        <v>15.5026118279697</v>
      </c>
      <c r="X5" s="7" t="s">
        <v>1202</v>
      </c>
      <c r="Y5" s="7"/>
      <c r="Z5" s="7"/>
      <c r="AA5" s="10" t="b">
        <v>1</v>
      </c>
      <c r="AB5" s="7">
        <v>0</v>
      </c>
      <c r="AC5" s="14" t="s">
        <v>281</v>
      </c>
      <c r="AD5" s="7"/>
      <c r="AE5" s="7" t="s">
        <v>147</v>
      </c>
      <c r="AF5" s="10" t="s">
        <v>1339</v>
      </c>
      <c r="AG5" s="14"/>
      <c r="AH5" s="10"/>
      <c r="AI5" s="39"/>
      <c r="AJ5" s="32"/>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39"/>
      <c r="DO5" s="39"/>
      <c r="DP5" s="39"/>
      <c r="DQ5" s="39"/>
      <c r="DR5" s="39"/>
      <c r="DS5" s="39"/>
      <c r="DT5" s="39"/>
      <c r="DU5" s="39"/>
      <c r="DV5" s="39"/>
      <c r="DW5" s="39"/>
      <c r="DX5" s="39"/>
      <c r="DY5" s="39"/>
      <c r="DZ5" s="39"/>
      <c r="EA5" s="39"/>
      <c r="EB5" s="39"/>
      <c r="EC5" s="39"/>
      <c r="ED5" s="39"/>
      <c r="EE5" s="39"/>
      <c r="EF5" s="39"/>
      <c r="EG5" s="39"/>
      <c r="EH5" s="39"/>
      <c r="EI5" s="39"/>
      <c r="EJ5" s="39"/>
      <c r="EK5" s="39"/>
      <c r="EL5" s="39"/>
      <c r="EM5" s="39"/>
      <c r="EN5" s="39"/>
      <c r="EO5" s="39"/>
      <c r="EP5" s="39"/>
      <c r="EQ5" s="39"/>
      <c r="ER5" s="39"/>
      <c r="ES5" s="39"/>
      <c r="ET5" s="39"/>
      <c r="EU5" s="39"/>
      <c r="EV5" s="39"/>
      <c r="EW5" s="39"/>
      <c r="EX5" s="39"/>
      <c r="EY5" s="39"/>
      <c r="EZ5" s="39"/>
      <c r="FA5" s="39"/>
      <c r="FB5" s="39"/>
      <c r="FC5" s="39"/>
      <c r="FD5" s="39"/>
      <c r="FE5" s="39"/>
      <c r="FF5" s="39"/>
      <c r="FG5" s="39"/>
      <c r="FH5" s="39"/>
      <c r="FI5" s="39"/>
      <c r="FJ5" s="39"/>
      <c r="FK5" s="39"/>
      <c r="FL5" s="39"/>
      <c r="FM5" s="39"/>
      <c r="FN5" s="39"/>
      <c r="FO5" s="39"/>
      <c r="FP5" s="39"/>
    </row>
    <row r="6" spans="1:172" s="75" customFormat="1" ht="15" customHeight="1" x14ac:dyDescent="0.2">
      <c r="A6" s="14" t="s">
        <v>284</v>
      </c>
      <c r="B6" s="9">
        <v>53</v>
      </c>
      <c r="C6" s="9">
        <v>54</v>
      </c>
      <c r="D6" s="13">
        <v>54.5</v>
      </c>
      <c r="E6" s="9">
        <v>68.2</v>
      </c>
      <c r="F6" s="9">
        <v>329</v>
      </c>
      <c r="G6" s="34">
        <v>11</v>
      </c>
      <c r="H6" s="9">
        <v>340.9</v>
      </c>
      <c r="I6" s="9">
        <v>62</v>
      </c>
      <c r="J6" s="9">
        <v>57.5</v>
      </c>
      <c r="K6" s="9">
        <v>6.1</v>
      </c>
      <c r="L6" s="13">
        <v>-62.9</v>
      </c>
      <c r="M6" s="13">
        <v>0.4</v>
      </c>
      <c r="N6" s="9"/>
      <c r="O6" s="9"/>
      <c r="P6" s="37">
        <v>31.77472605528709</v>
      </c>
      <c r="Q6" s="37">
        <v>8.2255572413398266</v>
      </c>
      <c r="R6" s="7">
        <v>102</v>
      </c>
      <c r="S6" s="13">
        <v>-64.425092362597496</v>
      </c>
      <c r="T6" s="13">
        <v>25.349616187467699</v>
      </c>
      <c r="U6" s="9">
        <v>70.847886785130299</v>
      </c>
      <c r="V6" s="9">
        <v>29.947623786603899</v>
      </c>
      <c r="W6" s="9">
        <v>15.808378620744801</v>
      </c>
      <c r="X6" s="7" t="s">
        <v>1202</v>
      </c>
      <c r="Y6" s="7"/>
      <c r="Z6" s="7"/>
      <c r="AA6" s="10" t="b">
        <v>1</v>
      </c>
      <c r="AB6" s="7">
        <v>0</v>
      </c>
      <c r="AC6" s="14" t="s">
        <v>285</v>
      </c>
      <c r="AD6" s="30">
        <v>1604</v>
      </c>
      <c r="AE6" s="7" t="s">
        <v>147</v>
      </c>
      <c r="AF6" s="10" t="s">
        <v>1291</v>
      </c>
      <c r="AG6" s="14"/>
      <c r="AH6" s="10"/>
      <c r="AI6" s="39"/>
      <c r="AJ6" s="32"/>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row>
    <row r="7" spans="1:172" s="69" customFormat="1" ht="14" customHeight="1" x14ac:dyDescent="0.15">
      <c r="A7" s="49" t="s">
        <v>286</v>
      </c>
      <c r="B7" s="54">
        <v>54</v>
      </c>
      <c r="C7" s="54">
        <v>56</v>
      </c>
      <c r="D7" s="55">
        <v>55</v>
      </c>
      <c r="E7" s="54">
        <v>70</v>
      </c>
      <c r="F7" s="54">
        <v>335</v>
      </c>
      <c r="G7" s="53">
        <v>28</v>
      </c>
      <c r="H7" s="54">
        <v>348</v>
      </c>
      <c r="I7" s="54">
        <v>62</v>
      </c>
      <c r="J7" s="54">
        <v>4.3</v>
      </c>
      <c r="K7" s="54">
        <v>15</v>
      </c>
      <c r="L7" s="55">
        <v>-63</v>
      </c>
      <c r="M7" s="55">
        <v>354</v>
      </c>
      <c r="N7" s="54"/>
      <c r="O7" s="54"/>
      <c r="P7" s="54">
        <v>2.3761969050040781</v>
      </c>
      <c r="Q7" s="54">
        <v>23.094488147718163</v>
      </c>
      <c r="R7" s="52">
        <v>102</v>
      </c>
      <c r="S7" s="55">
        <v>-65.015228359649996</v>
      </c>
      <c r="T7" s="55">
        <v>19.128645814252899</v>
      </c>
      <c r="U7" s="54">
        <v>71.0922461990465</v>
      </c>
      <c r="V7" s="54">
        <v>29.2325265207052</v>
      </c>
      <c r="W7" s="54">
        <v>16.1149248847038</v>
      </c>
      <c r="X7" s="52" t="s">
        <v>1202</v>
      </c>
      <c r="Y7" s="52"/>
      <c r="Z7" s="52"/>
      <c r="AA7" s="56" t="b">
        <v>0</v>
      </c>
      <c r="AB7" s="52" t="s">
        <v>165</v>
      </c>
      <c r="AC7" s="49" t="s">
        <v>287</v>
      </c>
      <c r="AD7" s="59">
        <v>450</v>
      </c>
      <c r="AE7" s="52" t="s">
        <v>147</v>
      </c>
      <c r="AF7" s="49" t="s">
        <v>1322</v>
      </c>
      <c r="AG7" s="60"/>
      <c r="AH7" s="56"/>
      <c r="AI7" s="12"/>
      <c r="AJ7" s="3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row>
    <row r="8" spans="1:172" s="69" customFormat="1" ht="14" customHeight="1" x14ac:dyDescent="0.15">
      <c r="A8" s="56" t="s">
        <v>290</v>
      </c>
      <c r="B8" s="54">
        <v>54</v>
      </c>
      <c r="C8" s="54">
        <v>57</v>
      </c>
      <c r="D8" s="55">
        <v>55.5</v>
      </c>
      <c r="E8" s="54">
        <v>71.38</v>
      </c>
      <c r="F8" s="54">
        <f>360-54.52</f>
        <v>305.48</v>
      </c>
      <c r="G8" s="53">
        <v>8</v>
      </c>
      <c r="H8" s="54">
        <v>359.2</v>
      </c>
      <c r="I8" s="54">
        <v>65.400000000000006</v>
      </c>
      <c r="J8" s="54">
        <v>8.86</v>
      </c>
      <c r="K8" s="54">
        <v>19.7</v>
      </c>
      <c r="L8" s="55">
        <v>-66.099999999999994</v>
      </c>
      <c r="M8" s="55">
        <v>306.8</v>
      </c>
      <c r="N8" s="54"/>
      <c r="O8" s="54"/>
      <c r="P8" s="61">
        <v>4.2415823063291436</v>
      </c>
      <c r="Q8" s="61">
        <v>30.551086799788173</v>
      </c>
      <c r="R8" s="59">
        <v>102</v>
      </c>
      <c r="S8" s="55">
        <v>-71.085968941424696</v>
      </c>
      <c r="T8" s="55">
        <v>326.534838306729</v>
      </c>
      <c r="U8" s="54">
        <v>71.322896167447496</v>
      </c>
      <c r="V8" s="54">
        <v>28.531404738486501</v>
      </c>
      <c r="W8" s="54">
        <v>16.4222054891565</v>
      </c>
      <c r="X8" s="52" t="s">
        <v>1202</v>
      </c>
      <c r="Y8" s="56"/>
      <c r="Z8" s="56"/>
      <c r="AA8" s="56" t="b">
        <v>0</v>
      </c>
      <c r="AB8" s="52">
        <v>0</v>
      </c>
      <c r="AC8" s="49" t="s">
        <v>291</v>
      </c>
      <c r="AD8" s="52"/>
      <c r="AE8" s="52" t="s">
        <v>1369</v>
      </c>
      <c r="AF8" s="56" t="s">
        <v>1429</v>
      </c>
      <c r="AG8" s="49" t="s">
        <v>292</v>
      </c>
      <c r="AH8" s="56" t="s">
        <v>293</v>
      </c>
      <c r="AI8" s="12"/>
      <c r="AJ8" s="3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row>
    <row r="9" spans="1:172" s="69" customFormat="1" ht="14" customHeight="1" x14ac:dyDescent="0.2">
      <c r="A9" s="14" t="s">
        <v>288</v>
      </c>
      <c r="B9" s="9">
        <v>55</v>
      </c>
      <c r="C9" s="9">
        <v>56</v>
      </c>
      <c r="D9" s="13">
        <v>55.5</v>
      </c>
      <c r="E9" s="9">
        <v>68.2</v>
      </c>
      <c r="F9" s="9">
        <v>328.3</v>
      </c>
      <c r="G9" s="34">
        <v>30</v>
      </c>
      <c r="H9" s="9">
        <v>350</v>
      </c>
      <c r="I9" s="9">
        <v>59</v>
      </c>
      <c r="J9" s="9">
        <v>40</v>
      </c>
      <c r="K9" s="9">
        <v>4.2</v>
      </c>
      <c r="L9" s="13">
        <v>-61</v>
      </c>
      <c r="M9" s="13">
        <v>345</v>
      </c>
      <c r="N9" s="9"/>
      <c r="O9" s="9"/>
      <c r="P9" s="9">
        <v>25.103319592611967</v>
      </c>
      <c r="Q9" s="9">
        <v>5.3513106052188064</v>
      </c>
      <c r="R9" s="7">
        <v>102</v>
      </c>
      <c r="S9" s="13">
        <v>-63.745931251634303</v>
      </c>
      <c r="T9" s="13">
        <v>9.1260109705386494</v>
      </c>
      <c r="U9" s="9">
        <v>71.322896167447496</v>
      </c>
      <c r="V9" s="9">
        <v>28.531404738486501</v>
      </c>
      <c r="W9" s="9">
        <v>16.4222054891565</v>
      </c>
      <c r="X9" s="7" t="s">
        <v>1202</v>
      </c>
      <c r="Y9" s="7"/>
      <c r="Z9" s="7"/>
      <c r="AA9" s="10" t="b">
        <v>1</v>
      </c>
      <c r="AB9" s="7">
        <v>0</v>
      </c>
      <c r="AC9" s="14" t="s">
        <v>289</v>
      </c>
      <c r="AD9" s="30">
        <v>1432</v>
      </c>
      <c r="AE9" s="7" t="s">
        <v>147</v>
      </c>
      <c r="AF9" s="10" t="s">
        <v>1297</v>
      </c>
      <c r="AG9" s="14"/>
      <c r="AH9" s="10"/>
      <c r="AI9" s="12"/>
      <c r="AJ9" s="3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row>
    <row r="10" spans="1:172" s="69" customFormat="1" ht="14" customHeight="1" x14ac:dyDescent="0.15">
      <c r="A10" s="49" t="s">
        <v>294</v>
      </c>
      <c r="B10" s="54">
        <v>56</v>
      </c>
      <c r="C10" s="54">
        <v>58</v>
      </c>
      <c r="D10" s="55">
        <v>57</v>
      </c>
      <c r="E10" s="54">
        <v>68.05</v>
      </c>
      <c r="F10" s="54">
        <v>328</v>
      </c>
      <c r="G10" s="53">
        <v>4</v>
      </c>
      <c r="H10" s="54">
        <v>338.5</v>
      </c>
      <c r="I10" s="54">
        <v>62.8</v>
      </c>
      <c r="J10" s="54">
        <v>105</v>
      </c>
      <c r="K10" s="54">
        <v>8.9</v>
      </c>
      <c r="L10" s="55">
        <v>-63.4</v>
      </c>
      <c r="M10" s="55">
        <v>5.0999999999999996</v>
      </c>
      <c r="N10" s="54"/>
      <c r="O10" s="54"/>
      <c r="P10" s="54">
        <v>56.087644744032225</v>
      </c>
      <c r="Q10" s="54">
        <v>12.375443536704241</v>
      </c>
      <c r="R10" s="52">
        <v>102</v>
      </c>
      <c r="S10" s="55">
        <v>-64.127500516886798</v>
      </c>
      <c r="T10" s="55">
        <v>32.404040349166102</v>
      </c>
      <c r="U10" s="54">
        <v>71.940566211416098</v>
      </c>
      <c r="V10" s="54">
        <v>26.513196296049902</v>
      </c>
      <c r="W10" s="54">
        <v>17.348048197909002</v>
      </c>
      <c r="X10" s="52" t="s">
        <v>1202</v>
      </c>
      <c r="Y10" s="52"/>
      <c r="Z10" s="52"/>
      <c r="AA10" s="56" t="b">
        <v>1</v>
      </c>
      <c r="AB10" s="52" t="s">
        <v>31</v>
      </c>
      <c r="AC10" s="49" t="s">
        <v>295</v>
      </c>
      <c r="AD10" s="59">
        <v>1844</v>
      </c>
      <c r="AE10" s="52" t="s">
        <v>147</v>
      </c>
      <c r="AF10" s="49" t="s">
        <v>1322</v>
      </c>
      <c r="AG10" s="60"/>
      <c r="AH10" s="56"/>
      <c r="AI10" s="12"/>
      <c r="AJ10" s="3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row>
    <row r="11" spans="1:172" s="69" customFormat="1" ht="14" customHeight="1" x14ac:dyDescent="0.2">
      <c r="A11" s="10" t="s">
        <v>299</v>
      </c>
      <c r="B11" s="9">
        <v>54</v>
      </c>
      <c r="C11" s="9">
        <v>61.5</v>
      </c>
      <c r="D11" s="13">
        <v>57.75</v>
      </c>
      <c r="E11" s="9">
        <v>71.38</v>
      </c>
      <c r="F11" s="9">
        <f>360-54.52</f>
        <v>305.48</v>
      </c>
      <c r="G11" s="34">
        <v>30</v>
      </c>
      <c r="H11" s="9">
        <v>331.4</v>
      </c>
      <c r="I11" s="9">
        <v>64.900000000000006</v>
      </c>
      <c r="J11" s="9">
        <v>19</v>
      </c>
      <c r="K11" s="9">
        <v>6.2</v>
      </c>
      <c r="L11" s="13">
        <v>-62</v>
      </c>
      <c r="M11" s="13">
        <v>349.7</v>
      </c>
      <c r="N11" s="9"/>
      <c r="O11" s="9"/>
      <c r="P11" s="9">
        <v>9.2884555822927339</v>
      </c>
      <c r="Q11" s="9">
        <v>9.1199201807892862</v>
      </c>
      <c r="R11" s="30">
        <v>102</v>
      </c>
      <c r="S11" s="13">
        <v>-64.217846461768502</v>
      </c>
      <c r="T11" s="13">
        <v>16.0178105390982</v>
      </c>
      <c r="U11" s="9">
        <v>71.882742509583494</v>
      </c>
      <c r="V11" s="9">
        <v>26.9926852669964</v>
      </c>
      <c r="W11" s="9">
        <v>17.430778056181001</v>
      </c>
      <c r="X11" s="7" t="s">
        <v>1202</v>
      </c>
      <c r="Y11" s="10"/>
      <c r="Z11" s="10"/>
      <c r="AA11" s="10" t="b">
        <v>1</v>
      </c>
      <c r="AB11" s="7">
        <v>0</v>
      </c>
      <c r="AC11" s="14" t="s">
        <v>291</v>
      </c>
      <c r="AD11" s="7"/>
      <c r="AE11" s="7" t="s">
        <v>1369</v>
      </c>
      <c r="AF11" s="10" t="s">
        <v>1433</v>
      </c>
      <c r="AG11" s="14"/>
      <c r="AH11" s="10"/>
      <c r="AI11" s="12"/>
      <c r="AJ11" s="3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row>
    <row r="12" spans="1:172" s="69" customFormat="1" ht="14" customHeight="1" x14ac:dyDescent="0.15">
      <c r="A12" s="14" t="s">
        <v>302</v>
      </c>
      <c r="B12" s="9">
        <v>53</v>
      </c>
      <c r="C12" s="9">
        <v>60</v>
      </c>
      <c r="D12" s="13">
        <v>59</v>
      </c>
      <c r="E12" s="9">
        <v>68.2</v>
      </c>
      <c r="F12" s="9">
        <v>329</v>
      </c>
      <c r="G12" s="34">
        <v>22</v>
      </c>
      <c r="H12" s="9">
        <v>344.4</v>
      </c>
      <c r="I12" s="9">
        <v>65.3</v>
      </c>
      <c r="J12" s="9">
        <v>69.3</v>
      </c>
      <c r="K12" s="9">
        <v>3.7</v>
      </c>
      <c r="L12" s="13">
        <v>-67.7</v>
      </c>
      <c r="M12" s="13">
        <v>357.7</v>
      </c>
      <c r="N12" s="9"/>
      <c r="O12" s="9"/>
      <c r="P12" s="37">
        <v>33.315307803749313</v>
      </c>
      <c r="Q12" s="37">
        <v>5.4513589967245721</v>
      </c>
      <c r="R12" s="7">
        <v>102</v>
      </c>
      <c r="S12" s="13">
        <v>-69.169297853334697</v>
      </c>
      <c r="T12" s="13">
        <v>27.6716197773499</v>
      </c>
      <c r="U12" s="9">
        <v>71.695737357034204</v>
      </c>
      <c r="V12" s="9">
        <v>28.154863446791101</v>
      </c>
      <c r="W12" s="9">
        <v>17.469866833446901</v>
      </c>
      <c r="X12" s="7" t="s">
        <v>1202</v>
      </c>
      <c r="Y12" s="7"/>
      <c r="Z12" s="7"/>
      <c r="AA12" s="10" t="b">
        <v>1</v>
      </c>
      <c r="AB12" s="7">
        <v>0</v>
      </c>
      <c r="AC12" s="14" t="s">
        <v>285</v>
      </c>
      <c r="AD12" s="30">
        <v>1604</v>
      </c>
      <c r="AE12" s="7" t="s">
        <v>147</v>
      </c>
      <c r="AF12" s="10"/>
      <c r="AG12" s="14" t="s">
        <v>1313</v>
      </c>
      <c r="AH12" s="10"/>
      <c r="AI12" s="12"/>
      <c r="AJ12" s="3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row>
    <row r="13" spans="1:172" s="69" customFormat="1" ht="14" customHeight="1" x14ac:dyDescent="0.2">
      <c r="A13" s="14" t="s">
        <v>310</v>
      </c>
      <c r="B13" s="9">
        <v>59</v>
      </c>
      <c r="C13" s="9">
        <v>60</v>
      </c>
      <c r="D13" s="13">
        <v>59.5</v>
      </c>
      <c r="E13" s="9">
        <v>68.2</v>
      </c>
      <c r="F13" s="9">
        <v>329</v>
      </c>
      <c r="G13" s="34">
        <v>39</v>
      </c>
      <c r="H13" s="9">
        <v>357</v>
      </c>
      <c r="I13" s="9">
        <v>56</v>
      </c>
      <c r="J13" s="9">
        <v>15.6</v>
      </c>
      <c r="K13" s="9">
        <v>6</v>
      </c>
      <c r="L13" s="13">
        <v>-56</v>
      </c>
      <c r="M13" s="13">
        <v>3</v>
      </c>
      <c r="N13" s="9"/>
      <c r="O13" s="9"/>
      <c r="P13" s="9">
        <v>11.103852598557827</v>
      </c>
      <c r="Q13" s="9">
        <v>7.2021897746749071</v>
      </c>
      <c r="R13" s="7">
        <v>102</v>
      </c>
      <c r="S13" s="13">
        <v>-57.2627607301377</v>
      </c>
      <c r="T13" s="13">
        <v>27.740082749527499</v>
      </c>
      <c r="U13" s="9">
        <v>71.619885344701302</v>
      </c>
      <c r="V13" s="9">
        <v>28.6132911834545</v>
      </c>
      <c r="W13" s="9">
        <v>17.485654010775601</v>
      </c>
      <c r="X13" s="7" t="s">
        <v>1202</v>
      </c>
      <c r="Y13" s="7"/>
      <c r="Z13" s="7"/>
      <c r="AA13" s="10" t="b">
        <v>1</v>
      </c>
      <c r="AB13" s="7">
        <v>0</v>
      </c>
      <c r="AC13" s="14" t="s">
        <v>285</v>
      </c>
      <c r="AD13" s="30">
        <v>1604</v>
      </c>
      <c r="AE13" s="7" t="s">
        <v>147</v>
      </c>
      <c r="AF13" s="14" t="s">
        <v>1343</v>
      </c>
      <c r="AG13" s="14"/>
      <c r="AH13" s="10"/>
      <c r="AI13" s="12"/>
      <c r="AJ13" s="3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row>
    <row r="14" spans="1:172" s="69" customFormat="1" ht="14" customHeight="1" x14ac:dyDescent="0.2">
      <c r="A14" s="49" t="s">
        <v>321</v>
      </c>
      <c r="B14" s="54">
        <v>60</v>
      </c>
      <c r="C14" s="54">
        <v>61</v>
      </c>
      <c r="D14" s="55">
        <v>60.5</v>
      </c>
      <c r="E14" s="54">
        <v>70</v>
      </c>
      <c r="F14" s="54">
        <v>306.5</v>
      </c>
      <c r="G14" s="53">
        <v>81</v>
      </c>
      <c r="H14" s="54">
        <v>320.7</v>
      </c>
      <c r="I14" s="54">
        <v>71.099999999999994</v>
      </c>
      <c r="J14" s="54">
        <v>25.2</v>
      </c>
      <c r="K14" s="54">
        <v>3.2</v>
      </c>
      <c r="L14" s="55">
        <v>-67.5</v>
      </c>
      <c r="M14" s="55">
        <v>15</v>
      </c>
      <c r="N14" s="54"/>
      <c r="O14" s="54"/>
      <c r="P14" s="54">
        <v>9.5866501867896368</v>
      </c>
      <c r="Q14" s="54">
        <v>5.3661139797025141</v>
      </c>
      <c r="R14" s="52">
        <v>102</v>
      </c>
      <c r="S14" s="55">
        <v>-67.451035161937099</v>
      </c>
      <c r="T14" s="55">
        <v>45.0419864288044</v>
      </c>
      <c r="U14" s="54">
        <v>71.466454734056896</v>
      </c>
      <c r="V14" s="54">
        <v>29.5192244846743</v>
      </c>
      <c r="W14" s="54">
        <v>17.517486241643098</v>
      </c>
      <c r="X14" s="52" t="s">
        <v>1202</v>
      </c>
      <c r="Y14" s="56"/>
      <c r="Z14" s="56"/>
      <c r="AA14" s="56" t="b">
        <v>0</v>
      </c>
      <c r="AB14" s="52">
        <v>0</v>
      </c>
      <c r="AC14" s="49" t="s">
        <v>322</v>
      </c>
      <c r="AD14" s="59">
        <v>103</v>
      </c>
      <c r="AE14" s="52" t="s">
        <v>147</v>
      </c>
      <c r="AF14" s="56" t="s">
        <v>1342</v>
      </c>
      <c r="AG14" s="49" t="s">
        <v>1378</v>
      </c>
      <c r="AH14" s="56"/>
      <c r="AI14" s="12"/>
      <c r="AJ14" s="3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row>
    <row r="15" spans="1:172" s="69" customFormat="1" ht="14" customHeight="1" x14ac:dyDescent="0.2">
      <c r="A15" s="14" t="s">
        <v>323</v>
      </c>
      <c r="B15" s="9">
        <v>60</v>
      </c>
      <c r="C15" s="9">
        <v>61</v>
      </c>
      <c r="D15" s="13">
        <v>60.5</v>
      </c>
      <c r="E15" s="9">
        <v>71.599999999999994</v>
      </c>
      <c r="F15" s="9">
        <v>305.89999999999998</v>
      </c>
      <c r="G15" s="34">
        <v>10</v>
      </c>
      <c r="H15" s="9">
        <v>319.89999999999998</v>
      </c>
      <c r="I15" s="9">
        <v>77.7</v>
      </c>
      <c r="J15" s="9">
        <v>65.599999999999994</v>
      </c>
      <c r="K15" s="9">
        <v>6</v>
      </c>
      <c r="L15" s="13">
        <v>-76.2</v>
      </c>
      <c r="M15" s="6">
        <v>37.9</v>
      </c>
      <c r="N15" s="9">
        <v>25.1</v>
      </c>
      <c r="O15" s="9">
        <v>9.8000000000000007</v>
      </c>
      <c r="P15" s="9" t="s">
        <v>1203</v>
      </c>
      <c r="Q15" s="9" t="s">
        <v>1203</v>
      </c>
      <c r="R15" s="7">
        <v>102</v>
      </c>
      <c r="S15" s="13">
        <v>-73.731525549729895</v>
      </c>
      <c r="T15" s="13">
        <v>73.1829613262219</v>
      </c>
      <c r="U15" s="9">
        <v>71.466454734056896</v>
      </c>
      <c r="V15" s="9">
        <v>29.5192244846743</v>
      </c>
      <c r="W15" s="9">
        <v>17.517486241643098</v>
      </c>
      <c r="X15" s="7" t="s">
        <v>1202</v>
      </c>
      <c r="Y15" s="10"/>
      <c r="Z15" s="10"/>
      <c r="AA15" s="10" t="b">
        <v>1</v>
      </c>
      <c r="AB15" s="7">
        <v>0</v>
      </c>
      <c r="AC15" s="14" t="s">
        <v>281</v>
      </c>
      <c r="AD15" s="7"/>
      <c r="AE15" s="7" t="s">
        <v>147</v>
      </c>
      <c r="AF15" s="10" t="s">
        <v>1341</v>
      </c>
      <c r="AG15" s="14"/>
      <c r="AH15" s="10"/>
      <c r="AI15" s="12"/>
      <c r="AJ15" s="3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row>
    <row r="16" spans="1:172" s="69" customFormat="1" ht="14" customHeight="1" x14ac:dyDescent="0.2">
      <c r="A16" s="14" t="s">
        <v>324</v>
      </c>
      <c r="B16" s="9">
        <v>60</v>
      </c>
      <c r="C16" s="9">
        <v>61</v>
      </c>
      <c r="D16" s="13">
        <v>60.5</v>
      </c>
      <c r="E16" s="9">
        <v>70.34</v>
      </c>
      <c r="F16" s="9">
        <v>305.10000000000002</v>
      </c>
      <c r="G16" s="34">
        <v>14</v>
      </c>
      <c r="H16" s="9">
        <v>349.8</v>
      </c>
      <c r="I16" s="9">
        <v>62.6</v>
      </c>
      <c r="J16" s="9">
        <v>34.1</v>
      </c>
      <c r="K16" s="9">
        <v>6.9</v>
      </c>
      <c r="L16" s="13">
        <v>-64.8</v>
      </c>
      <c r="M16" s="6">
        <v>321.5</v>
      </c>
      <c r="N16" s="9">
        <v>19.8</v>
      </c>
      <c r="O16" s="9">
        <v>9.1999999999999993</v>
      </c>
      <c r="P16" s="9" t="s">
        <v>1203</v>
      </c>
      <c r="Q16" s="9" t="s">
        <v>1203</v>
      </c>
      <c r="R16" s="7">
        <v>102</v>
      </c>
      <c r="S16" s="13">
        <v>-69.412350848742605</v>
      </c>
      <c r="T16" s="13">
        <v>345.47412165514498</v>
      </c>
      <c r="U16" s="9">
        <v>71.466454734056896</v>
      </c>
      <c r="V16" s="9">
        <v>29.5192244846743</v>
      </c>
      <c r="W16" s="9">
        <v>17.517486241643098</v>
      </c>
      <c r="X16" s="7" t="s">
        <v>1202</v>
      </c>
      <c r="Y16" s="10"/>
      <c r="Z16" s="10"/>
      <c r="AA16" s="10" t="b">
        <v>1</v>
      </c>
      <c r="AB16" s="7">
        <v>0</v>
      </c>
      <c r="AC16" s="14" t="s">
        <v>325</v>
      </c>
      <c r="AD16" s="7"/>
      <c r="AE16" s="7" t="s">
        <v>147</v>
      </c>
      <c r="AF16" s="10" t="s">
        <v>1341</v>
      </c>
      <c r="AG16" s="14"/>
      <c r="AH16" s="10"/>
      <c r="AI16" s="12"/>
      <c r="AJ16" s="3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row>
    <row r="17" spans="1:172" s="69" customFormat="1" ht="14" customHeight="1" x14ac:dyDescent="0.2">
      <c r="A17" s="14" t="s">
        <v>576</v>
      </c>
      <c r="B17" s="9">
        <v>144.19999999999999</v>
      </c>
      <c r="C17" s="9">
        <v>151</v>
      </c>
      <c r="D17" s="13">
        <v>147.6</v>
      </c>
      <c r="E17" s="9">
        <v>62.3</v>
      </c>
      <c r="F17" s="9">
        <f>360-49.8</f>
        <v>310.2</v>
      </c>
      <c r="G17" s="34">
        <v>40</v>
      </c>
      <c r="H17" s="9"/>
      <c r="I17" s="9"/>
      <c r="J17" s="9"/>
      <c r="K17" s="9"/>
      <c r="L17" s="13">
        <v>-69.3</v>
      </c>
      <c r="M17" s="13">
        <v>5</v>
      </c>
      <c r="N17" s="9">
        <v>25.1</v>
      </c>
      <c r="O17" s="9">
        <v>4.5999999999999996</v>
      </c>
      <c r="P17" s="9" t="s">
        <v>1203</v>
      </c>
      <c r="Q17" s="9" t="s">
        <v>1203</v>
      </c>
      <c r="R17" s="7">
        <v>102</v>
      </c>
      <c r="S17" s="13">
        <v>-50.8927508770348</v>
      </c>
      <c r="T17" s="13">
        <v>85.946961783831497</v>
      </c>
      <c r="U17" s="9">
        <v>60.6746385133061</v>
      </c>
      <c r="V17" s="9">
        <v>2.2430561246345002</v>
      </c>
      <c r="W17" s="9">
        <v>53.646026381447101</v>
      </c>
      <c r="X17" s="7" t="s">
        <v>1202</v>
      </c>
      <c r="Y17" s="10"/>
      <c r="Z17" s="10"/>
      <c r="AA17" s="7" t="b">
        <v>1</v>
      </c>
      <c r="AB17" s="7">
        <v>0</v>
      </c>
      <c r="AC17" s="14" t="s">
        <v>577</v>
      </c>
      <c r="AD17" s="7"/>
      <c r="AE17" s="7" t="s">
        <v>1369</v>
      </c>
      <c r="AF17" s="10" t="s">
        <v>1222</v>
      </c>
      <c r="AG17" s="14"/>
      <c r="AH17" s="10"/>
      <c r="AI17" s="12"/>
      <c r="AJ17" s="3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row>
    <row r="18" spans="1:172" s="69" customFormat="1" ht="14" customHeight="1" x14ac:dyDescent="0.2">
      <c r="A18" s="14" t="s">
        <v>766</v>
      </c>
      <c r="B18" s="9">
        <v>207</v>
      </c>
      <c r="C18" s="9">
        <v>211</v>
      </c>
      <c r="D18" s="13">
        <v>209</v>
      </c>
      <c r="E18" s="9">
        <v>71.5</v>
      </c>
      <c r="F18" s="9">
        <v>337.3</v>
      </c>
      <c r="G18" s="34">
        <v>222</v>
      </c>
      <c r="H18" s="9">
        <v>43.1</v>
      </c>
      <c r="I18" s="9">
        <v>60</v>
      </c>
      <c r="J18" s="9">
        <v>18</v>
      </c>
      <c r="K18" s="9">
        <v>2.2999999999999998</v>
      </c>
      <c r="L18" s="13">
        <v>-52.5</v>
      </c>
      <c r="M18" s="13">
        <v>279</v>
      </c>
      <c r="N18" s="9">
        <v>16.100000000000001</v>
      </c>
      <c r="O18" s="9">
        <v>2.4</v>
      </c>
      <c r="P18" s="9" t="s">
        <v>1203</v>
      </c>
      <c r="Q18" s="9" t="s">
        <v>1203</v>
      </c>
      <c r="R18" s="7">
        <v>102</v>
      </c>
      <c r="S18" s="13">
        <v>-67.595571700989098</v>
      </c>
      <c r="T18" s="13">
        <v>36.479737967217197</v>
      </c>
      <c r="U18" s="9">
        <v>60.4833800052524</v>
      </c>
      <c r="V18" s="9">
        <v>1.41932811149286</v>
      </c>
      <c r="W18" s="9">
        <v>69.397421292020795</v>
      </c>
      <c r="X18" s="7" t="s">
        <v>1204</v>
      </c>
      <c r="Y18" s="7">
        <v>0.53</v>
      </c>
      <c r="Z18" s="7">
        <v>4.95</v>
      </c>
      <c r="AA18" s="7" t="s">
        <v>148</v>
      </c>
      <c r="AB18" s="7">
        <v>0</v>
      </c>
      <c r="AC18" s="14" t="s">
        <v>757</v>
      </c>
      <c r="AD18" s="7"/>
      <c r="AE18" s="7" t="s">
        <v>147</v>
      </c>
      <c r="AF18" s="10" t="s">
        <v>1422</v>
      </c>
      <c r="AG18" s="14" t="s">
        <v>767</v>
      </c>
      <c r="AH18" s="10"/>
      <c r="AI18" s="12"/>
      <c r="AJ18" s="3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row>
    <row r="19" spans="1:172" s="69" customFormat="1" ht="14" customHeight="1" x14ac:dyDescent="0.2">
      <c r="A19" s="10" t="s">
        <v>99</v>
      </c>
      <c r="B19" s="28">
        <v>0</v>
      </c>
      <c r="C19" s="28">
        <v>2.65</v>
      </c>
      <c r="D19" s="29">
        <f>AVERAGE(B19,C19)</f>
        <v>1.325</v>
      </c>
      <c r="E19" s="7">
        <v>4.9400000000000004</v>
      </c>
      <c r="F19" s="7">
        <v>284.62</v>
      </c>
      <c r="G19" s="34">
        <v>46</v>
      </c>
      <c r="H19" s="10"/>
      <c r="I19" s="10"/>
      <c r="J19" s="10"/>
      <c r="K19" s="10"/>
      <c r="L19" s="13">
        <v>-86.069858163521801</v>
      </c>
      <c r="M19" s="13">
        <v>256.05944110912918</v>
      </c>
      <c r="N19" s="9">
        <v>34.9618699712777</v>
      </c>
      <c r="O19" s="9">
        <v>3.6075739861660301</v>
      </c>
      <c r="P19" s="9"/>
      <c r="Q19" s="9"/>
      <c r="R19" s="7">
        <v>201</v>
      </c>
      <c r="S19" s="13">
        <v>-86.237566298130105</v>
      </c>
      <c r="T19" s="13">
        <v>257.59299452684701</v>
      </c>
      <c r="U19" s="9">
        <v>60.534506878543397</v>
      </c>
      <c r="V19" s="9">
        <v>-38.938807178668</v>
      </c>
      <c r="W19" s="9">
        <v>0.37855599168257698</v>
      </c>
      <c r="X19" s="7" t="s">
        <v>1202</v>
      </c>
      <c r="Y19" s="10"/>
      <c r="Z19" s="7"/>
      <c r="AA19" s="10" t="b">
        <v>1</v>
      </c>
      <c r="AB19" s="7">
        <v>0</v>
      </c>
      <c r="AC19" s="10" t="s">
        <v>100</v>
      </c>
      <c r="AD19" s="7"/>
      <c r="AE19" s="7" t="s">
        <v>32</v>
      </c>
      <c r="AF19" s="10"/>
      <c r="AG19" s="14"/>
      <c r="AH19" s="10"/>
      <c r="AI19" s="12"/>
      <c r="AJ19" s="3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row>
    <row r="20" spans="1:172" s="69" customFormat="1" ht="14" customHeight="1" x14ac:dyDescent="0.2">
      <c r="A20" s="10" t="s">
        <v>101</v>
      </c>
      <c r="B20" s="28">
        <v>1.7999999999999999E-2</v>
      </c>
      <c r="C20" s="28">
        <v>2.71</v>
      </c>
      <c r="D20" s="29">
        <f>AVERAGE(B20,C20)</f>
        <v>1.3639999999999999</v>
      </c>
      <c r="E20" s="7">
        <v>-0.41</v>
      </c>
      <c r="F20" s="7">
        <v>281.73</v>
      </c>
      <c r="G20" s="34">
        <v>50</v>
      </c>
      <c r="H20" s="10"/>
      <c r="I20" s="10"/>
      <c r="J20" s="10"/>
      <c r="K20" s="10"/>
      <c r="L20" s="13">
        <v>-86.706215636929102</v>
      </c>
      <c r="M20" s="13">
        <v>266.73594099231298</v>
      </c>
      <c r="N20" s="9">
        <v>21.7315903489595</v>
      </c>
      <c r="O20" s="9">
        <v>4.4223994946530096</v>
      </c>
      <c r="P20" s="9"/>
      <c r="Q20" s="9"/>
      <c r="R20" s="7">
        <v>201</v>
      </c>
      <c r="S20" s="13">
        <v>-86.859543468901293</v>
      </c>
      <c r="T20" s="13">
        <v>269.12132886145901</v>
      </c>
      <c r="U20" s="9">
        <v>60.541893564125999</v>
      </c>
      <c r="V20" s="9">
        <v>-38.9468202341439</v>
      </c>
      <c r="W20" s="9">
        <v>0.38968777300038299</v>
      </c>
      <c r="X20" s="7" t="s">
        <v>1202</v>
      </c>
      <c r="Y20" s="10"/>
      <c r="Z20" s="7"/>
      <c r="AA20" s="10" t="b">
        <v>1</v>
      </c>
      <c r="AB20" s="7">
        <v>0</v>
      </c>
      <c r="AC20" s="10" t="s">
        <v>102</v>
      </c>
      <c r="AD20" s="7"/>
      <c r="AE20" s="7" t="s">
        <v>32</v>
      </c>
      <c r="AF20" s="10"/>
      <c r="AG20" s="14"/>
      <c r="AH20" s="10"/>
      <c r="AI20" s="12"/>
      <c r="AJ20" s="3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row>
    <row r="21" spans="1:172" s="69" customFormat="1" ht="14" customHeight="1" x14ac:dyDescent="0.2">
      <c r="A21" s="10" t="s">
        <v>141</v>
      </c>
      <c r="B21" s="28">
        <v>2.5499999999999998</v>
      </c>
      <c r="C21" s="28">
        <v>10</v>
      </c>
      <c r="D21" s="29">
        <f>AVERAGE(B21,C21)</f>
        <v>6.2750000000000004</v>
      </c>
      <c r="E21" s="7">
        <v>23.86</v>
      </c>
      <c r="F21" s="7">
        <v>327.57</v>
      </c>
      <c r="G21" s="34">
        <v>38</v>
      </c>
      <c r="H21" s="10"/>
      <c r="I21" s="10"/>
      <c r="J21" s="10"/>
      <c r="K21" s="10"/>
      <c r="L21" s="13">
        <v>-85.886421748663395</v>
      </c>
      <c r="M21" s="13">
        <v>325.09390633177799</v>
      </c>
      <c r="N21" s="9">
        <v>31.071856458320799</v>
      </c>
      <c r="O21" s="9">
        <v>4.2332713636848798</v>
      </c>
      <c r="P21" s="9"/>
      <c r="Q21" s="9"/>
      <c r="R21" s="7">
        <v>201</v>
      </c>
      <c r="S21" s="13">
        <v>-85.702299863761695</v>
      </c>
      <c r="T21" s="13">
        <v>338.85258062621301</v>
      </c>
      <c r="U21" s="9">
        <v>61.151590317651902</v>
      </c>
      <c r="V21" s="9">
        <v>-39.665442878023001</v>
      </c>
      <c r="W21" s="9">
        <v>1.8810453681386301</v>
      </c>
      <c r="X21" s="7" t="s">
        <v>1202</v>
      </c>
      <c r="Y21" s="10"/>
      <c r="Z21" s="7"/>
      <c r="AA21" s="10" t="b">
        <v>1</v>
      </c>
      <c r="AB21" s="7">
        <v>0</v>
      </c>
      <c r="AC21" s="10" t="s">
        <v>142</v>
      </c>
      <c r="AD21" s="7"/>
      <c r="AE21" s="7" t="s">
        <v>32</v>
      </c>
      <c r="AF21" s="10"/>
      <c r="AG21" s="14"/>
      <c r="AH21" s="10"/>
      <c r="AI21" s="12"/>
      <c r="AJ21" s="3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row>
    <row r="22" spans="1:172" s="69" customFormat="1" ht="14" customHeight="1" x14ac:dyDescent="0.2">
      <c r="A22" s="49" t="s">
        <v>371</v>
      </c>
      <c r="B22" s="54">
        <v>65.7</v>
      </c>
      <c r="C22" s="54">
        <v>68.350999999999999</v>
      </c>
      <c r="D22" s="55">
        <f>(B22+C22)/2</f>
        <v>67.025499999999994</v>
      </c>
      <c r="E22" s="54">
        <v>-43</v>
      </c>
      <c r="F22" s="54">
        <f>360-67.6</f>
        <v>292.39999999999998</v>
      </c>
      <c r="G22" s="53">
        <v>122</v>
      </c>
      <c r="H22" s="54">
        <v>336.4</v>
      </c>
      <c r="I22" s="54">
        <v>-45.8</v>
      </c>
      <c r="J22" s="54">
        <v>9</v>
      </c>
      <c r="K22" s="54">
        <v>4.5</v>
      </c>
      <c r="L22" s="55">
        <v>-67.400000000000006</v>
      </c>
      <c r="M22" s="55">
        <v>53.8</v>
      </c>
      <c r="N22" s="54">
        <v>7.5</v>
      </c>
      <c r="O22" s="54">
        <v>5</v>
      </c>
      <c r="P22" s="71" t="s">
        <v>1203</v>
      </c>
      <c r="Q22" s="71" t="s">
        <v>1203</v>
      </c>
      <c r="R22" s="52">
        <v>201</v>
      </c>
      <c r="S22" s="55">
        <v>-56.539969289305198</v>
      </c>
      <c r="T22" s="55">
        <v>73.653529435664595</v>
      </c>
      <c r="U22" s="54">
        <v>63.821065932679403</v>
      </c>
      <c r="V22" s="54">
        <v>-33.580729449827302</v>
      </c>
      <c r="W22" s="54">
        <v>24.969404681451</v>
      </c>
      <c r="X22" s="52" t="s">
        <v>1204</v>
      </c>
      <c r="Y22" s="56"/>
      <c r="Z22" s="56"/>
      <c r="AA22" s="52" t="s">
        <v>211</v>
      </c>
      <c r="AB22" s="52" t="s">
        <v>211</v>
      </c>
      <c r="AC22" s="49" t="s">
        <v>372</v>
      </c>
      <c r="AD22" s="52"/>
      <c r="AE22" s="52" t="s">
        <v>1369</v>
      </c>
      <c r="AF22" s="56" t="s">
        <v>1241</v>
      </c>
      <c r="AG22" s="49" t="s">
        <v>1240</v>
      </c>
      <c r="AH22" s="56" t="s">
        <v>1360</v>
      </c>
      <c r="AI22" s="12"/>
      <c r="AJ22" s="3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row>
    <row r="23" spans="1:172" s="69" customFormat="1" ht="14" customHeight="1" x14ac:dyDescent="0.2">
      <c r="A23" s="14" t="s">
        <v>378</v>
      </c>
      <c r="B23" s="9">
        <v>67</v>
      </c>
      <c r="C23" s="9">
        <v>74</v>
      </c>
      <c r="D23" s="13">
        <v>70.5</v>
      </c>
      <c r="E23" s="9">
        <v>-22.4</v>
      </c>
      <c r="F23" s="9">
        <v>315.2</v>
      </c>
      <c r="G23" s="34">
        <v>18</v>
      </c>
      <c r="H23" s="9">
        <v>351.2</v>
      </c>
      <c r="I23" s="9">
        <v>-47.4</v>
      </c>
      <c r="J23" s="9">
        <v>35.4</v>
      </c>
      <c r="K23" s="9">
        <v>5.9</v>
      </c>
      <c r="L23" s="13">
        <v>-79.5</v>
      </c>
      <c r="M23" s="13">
        <v>0</v>
      </c>
      <c r="N23" s="9">
        <v>37.799999999999997</v>
      </c>
      <c r="O23" s="9">
        <v>5.7</v>
      </c>
      <c r="P23" s="9" t="s">
        <v>1203</v>
      </c>
      <c r="Q23" s="9" t="s">
        <v>1203</v>
      </c>
      <c r="R23" s="7">
        <v>201</v>
      </c>
      <c r="S23" s="13">
        <v>-69.614830119043106</v>
      </c>
      <c r="T23" s="13">
        <v>46.652556425508799</v>
      </c>
      <c r="U23" s="9">
        <v>63.5201129281064</v>
      </c>
      <c r="V23" s="9">
        <v>-33.433189158807501</v>
      </c>
      <c r="W23" s="9">
        <v>26.123906461432998</v>
      </c>
      <c r="X23" s="7" t="s">
        <v>1202</v>
      </c>
      <c r="Y23" s="10"/>
      <c r="Z23" s="10"/>
      <c r="AA23" s="10" t="b">
        <v>1</v>
      </c>
      <c r="AB23" s="7">
        <v>0</v>
      </c>
      <c r="AC23" s="14" t="s">
        <v>379</v>
      </c>
      <c r="AD23" s="7">
        <v>3261</v>
      </c>
      <c r="AE23" s="7" t="s">
        <v>147</v>
      </c>
      <c r="AF23" s="10" t="s">
        <v>381</v>
      </c>
      <c r="AG23" s="14"/>
      <c r="AH23" s="10" t="s">
        <v>380</v>
      </c>
      <c r="AI23" s="12"/>
      <c r="AJ23" s="3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row>
    <row r="24" spans="1:172" s="69" customFormat="1" ht="14" customHeight="1" x14ac:dyDescent="0.2">
      <c r="A24" s="14" t="s">
        <v>401</v>
      </c>
      <c r="B24" s="9">
        <v>78</v>
      </c>
      <c r="C24" s="9">
        <v>84</v>
      </c>
      <c r="D24" s="13">
        <v>81</v>
      </c>
      <c r="E24" s="9">
        <v>-23.8</v>
      </c>
      <c r="F24" s="9">
        <f>360-45.3</f>
        <v>314.7</v>
      </c>
      <c r="G24" s="34">
        <v>18</v>
      </c>
      <c r="H24" s="9">
        <v>356.4</v>
      </c>
      <c r="I24" s="9">
        <v>-52.9</v>
      </c>
      <c r="J24" s="9">
        <v>70</v>
      </c>
      <c r="K24" s="9">
        <v>4.2</v>
      </c>
      <c r="L24" s="13">
        <v>-79.400000000000006</v>
      </c>
      <c r="M24" s="13">
        <v>331.9</v>
      </c>
      <c r="N24" s="9">
        <v>50.7</v>
      </c>
      <c r="O24" s="9">
        <v>4.9000000000000004</v>
      </c>
      <c r="P24" s="9" t="s">
        <v>1203</v>
      </c>
      <c r="Q24" s="9" t="s">
        <v>1203</v>
      </c>
      <c r="R24" s="7">
        <v>201</v>
      </c>
      <c r="S24" s="13">
        <v>-69.360948891677893</v>
      </c>
      <c r="T24" s="13">
        <v>40.545739430020298</v>
      </c>
      <c r="U24" s="9">
        <v>62.598278193147799</v>
      </c>
      <c r="V24" s="9">
        <v>-34.328317237096797</v>
      </c>
      <c r="W24" s="9">
        <v>31.730138193973101</v>
      </c>
      <c r="X24" s="7" t="s">
        <v>1202</v>
      </c>
      <c r="Y24" s="10"/>
      <c r="Z24" s="10"/>
      <c r="AA24" s="10" t="b">
        <v>1</v>
      </c>
      <c r="AB24" s="7">
        <v>0</v>
      </c>
      <c r="AC24" s="14" t="s">
        <v>379</v>
      </c>
      <c r="AD24" s="7">
        <v>3261</v>
      </c>
      <c r="AE24" s="7" t="s">
        <v>147</v>
      </c>
      <c r="AF24" s="10" t="s">
        <v>403</v>
      </c>
      <c r="AG24" s="14" t="s">
        <v>1370</v>
      </c>
      <c r="AH24" s="10" t="s">
        <v>402</v>
      </c>
      <c r="AI24" s="12"/>
      <c r="AJ24" s="3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row>
    <row r="25" spans="1:172" s="69" customFormat="1" ht="14" customHeight="1" x14ac:dyDescent="0.2">
      <c r="A25" s="14" t="s">
        <v>410</v>
      </c>
      <c r="B25" s="9">
        <v>78</v>
      </c>
      <c r="C25" s="9">
        <v>90</v>
      </c>
      <c r="D25" s="13">
        <v>84</v>
      </c>
      <c r="E25" s="9">
        <v>-21.8</v>
      </c>
      <c r="F25" s="9">
        <v>313.5</v>
      </c>
      <c r="G25" s="34">
        <v>47</v>
      </c>
      <c r="H25" s="9">
        <v>179.5</v>
      </c>
      <c r="I25" s="9">
        <v>47</v>
      </c>
      <c r="J25" s="9">
        <v>64.099999999999994</v>
      </c>
      <c r="K25" s="9">
        <v>2.6</v>
      </c>
      <c r="L25" s="13">
        <v>-83.2</v>
      </c>
      <c r="M25" s="13">
        <v>320.10000000000002</v>
      </c>
      <c r="N25" s="9">
        <v>60.3</v>
      </c>
      <c r="O25" s="9">
        <v>2.7</v>
      </c>
      <c r="P25" s="9" t="s">
        <v>1203</v>
      </c>
      <c r="Q25" s="9" t="s">
        <v>1203</v>
      </c>
      <c r="R25" s="7">
        <v>201</v>
      </c>
      <c r="S25" s="13">
        <v>-71.890732005159293</v>
      </c>
      <c r="T25" s="13">
        <v>48.517000869343804</v>
      </c>
      <c r="U25" s="9">
        <v>61.83119350906</v>
      </c>
      <c r="V25" s="9">
        <v>-34.370378743900403</v>
      </c>
      <c r="W25" s="9">
        <v>33.723941028443001</v>
      </c>
      <c r="X25" s="7" t="s">
        <v>1202</v>
      </c>
      <c r="Y25" s="10"/>
      <c r="Z25" s="10"/>
      <c r="AA25" s="10" t="b">
        <v>1</v>
      </c>
      <c r="AB25" s="7">
        <v>0</v>
      </c>
      <c r="AC25" s="14" t="s">
        <v>379</v>
      </c>
      <c r="AD25" s="7">
        <v>3261</v>
      </c>
      <c r="AE25" s="7" t="s">
        <v>147</v>
      </c>
      <c r="AF25" s="10" t="s">
        <v>412</v>
      </c>
      <c r="AG25" s="14"/>
      <c r="AH25" s="10" t="s">
        <v>411</v>
      </c>
      <c r="AI25" s="12"/>
      <c r="AJ25" s="3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row>
    <row r="26" spans="1:172" s="70" customFormat="1" ht="14" customHeight="1" x14ac:dyDescent="0.2">
      <c r="A26" s="49" t="s">
        <v>451</v>
      </c>
      <c r="B26" s="54">
        <v>85</v>
      </c>
      <c r="C26" s="54">
        <v>99</v>
      </c>
      <c r="D26" s="55">
        <v>92</v>
      </c>
      <c r="E26" s="54">
        <v>-8.4</v>
      </c>
      <c r="F26" s="54">
        <v>325</v>
      </c>
      <c r="G26" s="53">
        <v>9</v>
      </c>
      <c r="H26" s="54">
        <v>0.4</v>
      </c>
      <c r="I26" s="54">
        <v>-20.6</v>
      </c>
      <c r="J26" s="54">
        <v>114</v>
      </c>
      <c r="K26" s="54">
        <v>4.8</v>
      </c>
      <c r="L26" s="55">
        <v>-87.6</v>
      </c>
      <c r="M26" s="58">
        <v>315.10000000000002</v>
      </c>
      <c r="N26" s="54">
        <v>127</v>
      </c>
      <c r="O26" s="54">
        <v>4.5</v>
      </c>
      <c r="P26" s="54" t="s">
        <v>1203</v>
      </c>
      <c r="Q26" s="54" t="s">
        <v>1203</v>
      </c>
      <c r="R26" s="52">
        <v>201</v>
      </c>
      <c r="S26" s="55">
        <v>-70.9724047618881</v>
      </c>
      <c r="T26" s="55">
        <v>63.1989747480335</v>
      </c>
      <c r="U26" s="54">
        <v>60.839999999999897</v>
      </c>
      <c r="V26" s="54">
        <v>-36.499999999999901</v>
      </c>
      <c r="W26" s="54">
        <v>38.579999999999899</v>
      </c>
      <c r="X26" s="52" t="s">
        <v>1202</v>
      </c>
      <c r="Y26" s="52"/>
      <c r="Z26" s="52"/>
      <c r="AA26" s="52" t="b">
        <v>0</v>
      </c>
      <c r="AB26" s="52">
        <v>0</v>
      </c>
      <c r="AC26" s="49" t="s">
        <v>452</v>
      </c>
      <c r="AD26" s="52">
        <v>1448</v>
      </c>
      <c r="AE26" s="52" t="s">
        <v>147</v>
      </c>
      <c r="AF26" s="56" t="s">
        <v>453</v>
      </c>
      <c r="AG26" s="49"/>
      <c r="AH26" s="56"/>
      <c r="AI26" s="17"/>
      <c r="AJ26" s="32"/>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row>
    <row r="27" spans="1:172" s="69" customFormat="1" ht="14" customHeight="1" x14ac:dyDescent="0.2">
      <c r="A27" s="49" t="s">
        <v>473</v>
      </c>
      <c r="B27" s="54">
        <v>101</v>
      </c>
      <c r="C27" s="54">
        <v>103</v>
      </c>
      <c r="D27" s="55">
        <v>102</v>
      </c>
      <c r="E27" s="54">
        <v>-8.35</v>
      </c>
      <c r="F27" s="54">
        <v>-34.950000000000003</v>
      </c>
      <c r="G27" s="53">
        <v>24</v>
      </c>
      <c r="H27" s="54">
        <v>359.6</v>
      </c>
      <c r="I27" s="54">
        <v>-20.399999999999999</v>
      </c>
      <c r="J27" s="54">
        <v>98.2</v>
      </c>
      <c r="K27" s="54">
        <v>3</v>
      </c>
      <c r="L27" s="55">
        <v>-87.9</v>
      </c>
      <c r="M27" s="58">
        <v>335.9</v>
      </c>
      <c r="N27" s="52">
        <v>137.6</v>
      </c>
      <c r="O27" s="52">
        <v>2.5</v>
      </c>
      <c r="P27" s="54" t="s">
        <v>1203</v>
      </c>
      <c r="Q27" s="54" t="s">
        <v>1203</v>
      </c>
      <c r="R27" s="52">
        <v>201</v>
      </c>
      <c r="S27" s="55">
        <v>-68.289989418689203</v>
      </c>
      <c r="T27" s="55">
        <v>66.005740022812901</v>
      </c>
      <c r="U27" s="54">
        <v>61.741395513711502</v>
      </c>
      <c r="V27" s="54">
        <v>-38.922120738760697</v>
      </c>
      <c r="W27" s="54">
        <v>44.054744203517103</v>
      </c>
      <c r="X27" s="52" t="s">
        <v>1202</v>
      </c>
      <c r="Y27" s="56"/>
      <c r="Z27" s="56"/>
      <c r="AA27" s="56" t="b">
        <v>0</v>
      </c>
      <c r="AB27" s="52">
        <v>0</v>
      </c>
      <c r="AC27" s="49" t="s">
        <v>474</v>
      </c>
      <c r="AD27" s="52"/>
      <c r="AE27" s="52" t="s">
        <v>147</v>
      </c>
      <c r="AF27" s="56" t="s">
        <v>475</v>
      </c>
      <c r="AG27" s="49"/>
      <c r="AH27" s="56"/>
      <c r="AI27" s="12"/>
      <c r="AJ27" s="3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row>
    <row r="28" spans="1:172" s="69" customFormat="1" ht="14" customHeight="1" x14ac:dyDescent="0.2">
      <c r="A28" s="49" t="s">
        <v>509</v>
      </c>
      <c r="B28" s="54">
        <v>112</v>
      </c>
      <c r="C28" s="54">
        <v>124</v>
      </c>
      <c r="D28" s="55">
        <v>118</v>
      </c>
      <c r="E28" s="54">
        <v>-6.5</v>
      </c>
      <c r="F28" s="54">
        <v>318</v>
      </c>
      <c r="G28" s="53">
        <v>21</v>
      </c>
      <c r="H28" s="54">
        <v>174.7</v>
      </c>
      <c r="I28" s="54">
        <v>6</v>
      </c>
      <c r="J28" s="54">
        <v>122</v>
      </c>
      <c r="K28" s="54">
        <v>2.8</v>
      </c>
      <c r="L28" s="55">
        <v>-83.6</v>
      </c>
      <c r="M28" s="55">
        <v>81</v>
      </c>
      <c r="N28" s="54">
        <v>276</v>
      </c>
      <c r="O28" s="54">
        <v>1.9</v>
      </c>
      <c r="P28" s="54" t="s">
        <v>1203</v>
      </c>
      <c r="Q28" s="54" t="s">
        <v>1203</v>
      </c>
      <c r="R28" s="52">
        <v>201</v>
      </c>
      <c r="S28" s="55">
        <v>-56.005452584682203</v>
      </c>
      <c r="T28" s="55">
        <v>83.704226292546295</v>
      </c>
      <c r="U28" s="54">
        <v>53.949169627953999</v>
      </c>
      <c r="V28" s="54">
        <v>-35.968625396193097</v>
      </c>
      <c r="W28" s="54">
        <v>51.115650072033297</v>
      </c>
      <c r="X28" s="52" t="s">
        <v>1202</v>
      </c>
      <c r="Y28" s="56"/>
      <c r="Z28" s="56"/>
      <c r="AA28" s="52" t="b">
        <v>0</v>
      </c>
      <c r="AB28" s="52">
        <v>0</v>
      </c>
      <c r="AC28" s="49" t="s">
        <v>510</v>
      </c>
      <c r="AD28" s="52">
        <v>1431</v>
      </c>
      <c r="AE28" s="52" t="s">
        <v>147</v>
      </c>
      <c r="AF28" s="56" t="s">
        <v>511</v>
      </c>
      <c r="AG28" s="49"/>
      <c r="AH28" s="56"/>
      <c r="AI28" s="12"/>
      <c r="AJ28" s="3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row>
    <row r="29" spans="1:172" s="69" customFormat="1" ht="14" customHeight="1" x14ac:dyDescent="0.2">
      <c r="A29" s="14" t="s">
        <v>524</v>
      </c>
      <c r="B29" s="9">
        <v>119</v>
      </c>
      <c r="C29" s="9">
        <v>128.30000000000001</v>
      </c>
      <c r="D29" s="13">
        <v>123.65</v>
      </c>
      <c r="E29" s="9">
        <v>-27.7</v>
      </c>
      <c r="F29" s="9">
        <v>311.5</v>
      </c>
      <c r="G29" s="34">
        <v>65</v>
      </c>
      <c r="H29" s="9">
        <v>358.9</v>
      </c>
      <c r="I29" s="9">
        <v>-46</v>
      </c>
      <c r="J29" s="9">
        <v>46.4</v>
      </c>
      <c r="K29" s="9">
        <v>2.6</v>
      </c>
      <c r="L29" s="13">
        <v>-89.1</v>
      </c>
      <c r="M29" s="6">
        <v>3.3</v>
      </c>
      <c r="N29" s="7">
        <v>47.3</v>
      </c>
      <c r="O29" s="7">
        <v>2.6</v>
      </c>
      <c r="P29" s="38" t="s">
        <v>1203</v>
      </c>
      <c r="Q29" s="38" t="s">
        <v>1203</v>
      </c>
      <c r="R29" s="7">
        <v>201</v>
      </c>
      <c r="S29" s="13">
        <v>-56.463982124875798</v>
      </c>
      <c r="T29" s="13">
        <v>76.023529223892595</v>
      </c>
      <c r="U29" s="9">
        <v>51.044064441342499</v>
      </c>
      <c r="V29" s="9">
        <v>-34.458696816749303</v>
      </c>
      <c r="W29" s="9">
        <v>53.301857410020702</v>
      </c>
      <c r="X29" s="7" t="s">
        <v>1202</v>
      </c>
      <c r="Y29" s="10"/>
      <c r="Z29" s="10"/>
      <c r="AA29" s="7" t="b">
        <v>1</v>
      </c>
      <c r="AB29" s="7">
        <v>0</v>
      </c>
      <c r="AC29" s="14" t="s">
        <v>525</v>
      </c>
      <c r="AD29" s="7">
        <v>3190</v>
      </c>
      <c r="AE29" s="7" t="s">
        <v>147</v>
      </c>
      <c r="AF29" s="10" t="s">
        <v>526</v>
      </c>
      <c r="AG29" s="14"/>
      <c r="AH29" s="10"/>
      <c r="AI29" s="12"/>
      <c r="AJ29" s="3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row>
    <row r="30" spans="1:172" s="69" customFormat="1" ht="14" customHeight="1" x14ac:dyDescent="0.2">
      <c r="A30" s="14" t="s">
        <v>537</v>
      </c>
      <c r="B30" s="9">
        <v>129.19999999999999</v>
      </c>
      <c r="C30" s="9">
        <v>131.4</v>
      </c>
      <c r="D30" s="13">
        <v>130.30000000000001</v>
      </c>
      <c r="E30" s="9">
        <v>-24.5</v>
      </c>
      <c r="F30" s="9">
        <v>310</v>
      </c>
      <c r="G30" s="6">
        <v>115</v>
      </c>
      <c r="H30" s="7">
        <v>351.7</v>
      </c>
      <c r="I30" s="7">
        <v>-42.7</v>
      </c>
      <c r="J30" s="7">
        <v>42.6</v>
      </c>
      <c r="K30" s="9">
        <v>2</v>
      </c>
      <c r="L30" s="13">
        <v>-82.4</v>
      </c>
      <c r="M30" s="6">
        <v>30.3</v>
      </c>
      <c r="N30" s="7">
        <v>43.8</v>
      </c>
      <c r="O30" s="9">
        <v>2</v>
      </c>
      <c r="P30" s="38" t="s">
        <v>1203</v>
      </c>
      <c r="Q30" s="38" t="s">
        <v>1203</v>
      </c>
      <c r="R30" s="7">
        <v>201</v>
      </c>
      <c r="S30" s="13">
        <v>-46.9876270356907</v>
      </c>
      <c r="T30" s="13">
        <v>77.666288193659</v>
      </c>
      <c r="U30" s="9">
        <v>49.213947228425099</v>
      </c>
      <c r="V30" s="9">
        <v>-33.1319367131955</v>
      </c>
      <c r="W30" s="9">
        <v>55.533697593648</v>
      </c>
      <c r="X30" s="7" t="s">
        <v>1202</v>
      </c>
      <c r="Y30" s="10"/>
      <c r="Z30" s="10"/>
      <c r="AA30" s="7" t="b">
        <v>1</v>
      </c>
      <c r="AB30" s="7">
        <v>0</v>
      </c>
      <c r="AC30" s="14" t="s">
        <v>538</v>
      </c>
      <c r="AD30" s="7">
        <v>2958</v>
      </c>
      <c r="AE30" s="7" t="s">
        <v>147</v>
      </c>
      <c r="AF30" s="10" t="s">
        <v>539</v>
      </c>
      <c r="AG30" s="14"/>
      <c r="AH30" s="10"/>
      <c r="AI30" s="12"/>
      <c r="AJ30" s="3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row>
    <row r="31" spans="1:172" s="69" customFormat="1" ht="14" customHeight="1" x14ac:dyDescent="0.2">
      <c r="A31" s="10" t="s">
        <v>540</v>
      </c>
      <c r="B31" s="9">
        <v>129.19999999999999</v>
      </c>
      <c r="C31" s="9">
        <v>131.4</v>
      </c>
      <c r="D31" s="13">
        <v>130.30000000000001</v>
      </c>
      <c r="E31" s="9">
        <v>-23.8</v>
      </c>
      <c r="F31" s="9">
        <v>310</v>
      </c>
      <c r="G31" s="6">
        <v>24</v>
      </c>
      <c r="H31" s="7"/>
      <c r="I31" s="7"/>
      <c r="J31" s="7"/>
      <c r="K31" s="7"/>
      <c r="L31" s="6">
        <v>-88.1</v>
      </c>
      <c r="M31" s="13">
        <v>222</v>
      </c>
      <c r="N31" s="7">
        <v>35.700000000000003</v>
      </c>
      <c r="O31" s="9">
        <v>5</v>
      </c>
      <c r="P31" s="38" t="s">
        <v>1203</v>
      </c>
      <c r="Q31" s="38" t="s">
        <v>1203</v>
      </c>
      <c r="R31" s="7">
        <v>201</v>
      </c>
      <c r="S31" s="13">
        <v>-56.215561743248301</v>
      </c>
      <c r="T31" s="13">
        <v>78.006334467685605</v>
      </c>
      <c r="U31" s="9">
        <v>49.000911619142897</v>
      </c>
      <c r="V31" s="9">
        <v>-33.2992873606415</v>
      </c>
      <c r="W31" s="9">
        <v>55.659459245121802</v>
      </c>
      <c r="X31" s="7" t="s">
        <v>1202</v>
      </c>
      <c r="Y31" s="7"/>
      <c r="Z31" s="7"/>
      <c r="AA31" s="7" t="b">
        <v>1</v>
      </c>
      <c r="AB31" s="7">
        <v>0</v>
      </c>
      <c r="AC31" s="14" t="s">
        <v>541</v>
      </c>
      <c r="AD31" s="7"/>
      <c r="AE31" s="7" t="s">
        <v>1369</v>
      </c>
      <c r="AF31" s="10" t="s">
        <v>539</v>
      </c>
      <c r="AG31" s="14"/>
      <c r="AH31" s="10"/>
      <c r="AI31" s="12"/>
      <c r="AJ31" s="3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row>
    <row r="32" spans="1:172" s="69" customFormat="1" ht="14" customHeight="1" x14ac:dyDescent="0.2">
      <c r="A32" s="56" t="s">
        <v>561</v>
      </c>
      <c r="B32" s="54">
        <v>132</v>
      </c>
      <c r="C32" s="54">
        <v>136</v>
      </c>
      <c r="D32" s="55">
        <v>134</v>
      </c>
      <c r="E32" s="54">
        <v>-26.1</v>
      </c>
      <c r="F32" s="54">
        <v>-52.5</v>
      </c>
      <c r="G32" s="53">
        <v>35</v>
      </c>
      <c r="H32" s="54">
        <v>4.4000000000000004</v>
      </c>
      <c r="I32" s="54">
        <v>-42.4</v>
      </c>
      <c r="J32" s="54">
        <v>97</v>
      </c>
      <c r="K32" s="54">
        <v>2.5</v>
      </c>
      <c r="L32" s="55">
        <v>-85.7</v>
      </c>
      <c r="M32" s="55">
        <v>197.9</v>
      </c>
      <c r="N32" s="54">
        <v>87.9</v>
      </c>
      <c r="O32" s="54">
        <v>2.6</v>
      </c>
      <c r="P32" s="54" t="s">
        <v>1203</v>
      </c>
      <c r="Q32" s="54" t="s">
        <v>1203</v>
      </c>
      <c r="R32" s="52">
        <v>201</v>
      </c>
      <c r="S32" s="55">
        <v>-59.489139856170901</v>
      </c>
      <c r="T32" s="55">
        <v>81.865729768575306</v>
      </c>
      <c r="U32" s="54">
        <v>50</v>
      </c>
      <c r="V32" s="54">
        <v>-32.5</v>
      </c>
      <c r="W32" s="54">
        <v>55.08</v>
      </c>
      <c r="X32" s="52" t="s">
        <v>1202</v>
      </c>
      <c r="Y32" s="56"/>
      <c r="Z32" s="54"/>
      <c r="AA32" s="52" t="b">
        <v>0</v>
      </c>
      <c r="AB32" s="52">
        <v>0</v>
      </c>
      <c r="AC32" s="56" t="s">
        <v>562</v>
      </c>
      <c r="AD32" s="52"/>
      <c r="AE32" s="52" t="s">
        <v>1369</v>
      </c>
      <c r="AF32" s="56" t="s">
        <v>1220</v>
      </c>
      <c r="AG32" s="49"/>
      <c r="AH32" s="56" t="s">
        <v>1229</v>
      </c>
      <c r="AI32" s="12"/>
      <c r="AJ32" s="3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row>
    <row r="33" spans="1:172" s="69" customFormat="1" ht="14" customHeight="1" x14ac:dyDescent="0.2">
      <c r="A33" s="10" t="s">
        <v>565</v>
      </c>
      <c r="B33" s="9">
        <v>132</v>
      </c>
      <c r="C33" s="9">
        <v>136</v>
      </c>
      <c r="D33" s="13">
        <v>134</v>
      </c>
      <c r="E33" s="9">
        <v>-25.6</v>
      </c>
      <c r="F33" s="9">
        <v>-54.9</v>
      </c>
      <c r="G33" s="34">
        <v>18</v>
      </c>
      <c r="H33" s="9">
        <v>176.5</v>
      </c>
      <c r="I33" s="9">
        <v>46.5</v>
      </c>
      <c r="J33" s="9"/>
      <c r="K33" s="9"/>
      <c r="L33" s="13">
        <v>-86.2</v>
      </c>
      <c r="M33" s="13">
        <v>359.2</v>
      </c>
      <c r="N33" s="9">
        <v>65</v>
      </c>
      <c r="O33" s="9">
        <v>4.3</v>
      </c>
      <c r="P33" s="9" t="s">
        <v>1203</v>
      </c>
      <c r="Q33" s="9" t="s">
        <v>1203</v>
      </c>
      <c r="R33" s="7">
        <v>201</v>
      </c>
      <c r="S33" s="13">
        <v>-52.307444925191398</v>
      </c>
      <c r="T33" s="13">
        <v>75.575713820690197</v>
      </c>
      <c r="U33" s="9">
        <v>50</v>
      </c>
      <c r="V33" s="9">
        <v>-32.5</v>
      </c>
      <c r="W33" s="9">
        <v>55.08</v>
      </c>
      <c r="X33" s="7" t="s">
        <v>1202</v>
      </c>
      <c r="Y33" s="10"/>
      <c r="Z33" s="9"/>
      <c r="AA33" s="7" t="b">
        <v>1</v>
      </c>
      <c r="AB33" s="7">
        <v>0</v>
      </c>
      <c r="AC33" s="10" t="s">
        <v>566</v>
      </c>
      <c r="AD33" s="7"/>
      <c r="AE33" s="7" t="s">
        <v>1369</v>
      </c>
      <c r="AF33" s="10" t="s">
        <v>1220</v>
      </c>
      <c r="AG33" s="14"/>
      <c r="AH33" s="10"/>
      <c r="AI33" s="12"/>
      <c r="AJ33" s="3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row>
    <row r="34" spans="1:172" s="69" customFormat="1" ht="14" customHeight="1" x14ac:dyDescent="0.2">
      <c r="A34" s="10" t="s">
        <v>560</v>
      </c>
      <c r="B34" s="9">
        <v>132</v>
      </c>
      <c r="C34" s="9">
        <v>136</v>
      </c>
      <c r="D34" s="13">
        <v>134</v>
      </c>
      <c r="E34" s="9">
        <v>-26.4</v>
      </c>
      <c r="F34" s="9">
        <v>-54.3</v>
      </c>
      <c r="G34" s="34">
        <v>26</v>
      </c>
      <c r="H34" s="9"/>
      <c r="I34" s="9"/>
      <c r="J34" s="9"/>
      <c r="K34" s="9"/>
      <c r="L34" s="13">
        <v>-89.7</v>
      </c>
      <c r="M34" s="13">
        <v>339.1</v>
      </c>
      <c r="N34" s="9">
        <v>45.6</v>
      </c>
      <c r="O34" s="9">
        <v>4.2</v>
      </c>
      <c r="P34" s="9" t="s">
        <v>1203</v>
      </c>
      <c r="Q34" s="9" t="s">
        <v>1203</v>
      </c>
      <c r="R34" s="7">
        <v>201</v>
      </c>
      <c r="S34" s="13">
        <v>-55.254652619072203</v>
      </c>
      <c r="T34" s="13">
        <v>78.835029056666002</v>
      </c>
      <c r="U34" s="9">
        <v>50</v>
      </c>
      <c r="V34" s="9">
        <v>-32.5</v>
      </c>
      <c r="W34" s="9">
        <v>55.08</v>
      </c>
      <c r="X34" s="7" t="s">
        <v>1202</v>
      </c>
      <c r="Y34" s="10"/>
      <c r="Z34" s="9"/>
      <c r="AA34" s="7" t="b">
        <v>1</v>
      </c>
      <c r="AB34" s="7">
        <v>0</v>
      </c>
      <c r="AC34" s="10" t="s">
        <v>1461</v>
      </c>
      <c r="AD34" s="7"/>
      <c r="AE34" s="7" t="s">
        <v>1369</v>
      </c>
      <c r="AF34" s="10" t="s">
        <v>1220</v>
      </c>
      <c r="AG34" s="14"/>
      <c r="AH34" s="10"/>
      <c r="AI34" s="12"/>
      <c r="AJ34" s="3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row>
    <row r="35" spans="1:172" s="69" customFormat="1" ht="14" customHeight="1" x14ac:dyDescent="0.2">
      <c r="A35" s="10" t="s">
        <v>559</v>
      </c>
      <c r="B35" s="9">
        <v>132</v>
      </c>
      <c r="C35" s="9">
        <v>136</v>
      </c>
      <c r="D35" s="13">
        <v>134</v>
      </c>
      <c r="E35" s="9">
        <v>-26</v>
      </c>
      <c r="F35" s="9">
        <v>308</v>
      </c>
      <c r="G35" s="6">
        <v>96</v>
      </c>
      <c r="H35" s="7"/>
      <c r="I35" s="7"/>
      <c r="J35" s="7"/>
      <c r="K35" s="7"/>
      <c r="L35" s="6">
        <v>-84.1</v>
      </c>
      <c r="M35" s="13">
        <v>69.2</v>
      </c>
      <c r="N35" s="7">
        <v>34.299999999999997</v>
      </c>
      <c r="O35" s="9">
        <v>2.5</v>
      </c>
      <c r="P35" s="9" t="s">
        <v>1203</v>
      </c>
      <c r="Q35" s="9" t="s">
        <v>1203</v>
      </c>
      <c r="R35" s="7">
        <v>201</v>
      </c>
      <c r="S35" s="13">
        <v>-50.382168776849397</v>
      </c>
      <c r="T35" s="13">
        <v>84.375720258752295</v>
      </c>
      <c r="U35" s="9">
        <v>50</v>
      </c>
      <c r="V35" s="9">
        <v>-32.5</v>
      </c>
      <c r="W35" s="9">
        <v>55.08</v>
      </c>
      <c r="X35" s="7" t="s">
        <v>1202</v>
      </c>
      <c r="Y35" s="7"/>
      <c r="Z35" s="7"/>
      <c r="AA35" s="7" t="b">
        <v>1</v>
      </c>
      <c r="AB35" s="7">
        <v>0</v>
      </c>
      <c r="AC35" s="14" t="s">
        <v>543</v>
      </c>
      <c r="AD35" s="7"/>
      <c r="AE35" s="7" t="s">
        <v>1369</v>
      </c>
      <c r="AF35" s="10" t="s">
        <v>1220</v>
      </c>
      <c r="AG35" s="14" t="s">
        <v>1228</v>
      </c>
      <c r="AH35" s="10"/>
      <c r="AI35" s="12"/>
      <c r="AJ35" s="3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row>
    <row r="36" spans="1:172" s="69" customFormat="1" ht="14" customHeight="1" x14ac:dyDescent="0.15">
      <c r="A36" s="14" t="s">
        <v>557</v>
      </c>
      <c r="B36" s="9">
        <v>132</v>
      </c>
      <c r="C36" s="9">
        <v>136</v>
      </c>
      <c r="D36" s="13">
        <v>134</v>
      </c>
      <c r="E36" s="9">
        <v>-22</v>
      </c>
      <c r="F36" s="9">
        <v>308</v>
      </c>
      <c r="G36" s="34">
        <v>128</v>
      </c>
      <c r="H36" s="9">
        <v>174.8</v>
      </c>
      <c r="I36" s="9">
        <v>30.9</v>
      </c>
      <c r="J36" s="9"/>
      <c r="K36" s="9"/>
      <c r="L36" s="13">
        <v>-82.7</v>
      </c>
      <c r="M36" s="13">
        <v>84.5</v>
      </c>
      <c r="N36" s="9">
        <v>48</v>
      </c>
      <c r="O36" s="7">
        <v>1.8</v>
      </c>
      <c r="P36" s="37" t="s">
        <v>1203</v>
      </c>
      <c r="Q36" s="37" t="s">
        <v>1203</v>
      </c>
      <c r="R36" s="7">
        <v>201</v>
      </c>
      <c r="S36" s="13">
        <v>-50.2767148249172</v>
      </c>
      <c r="T36" s="13">
        <v>87.874887354972699</v>
      </c>
      <c r="U36" s="9">
        <v>50</v>
      </c>
      <c r="V36" s="9">
        <v>-32.5</v>
      </c>
      <c r="W36" s="9">
        <v>55.08</v>
      </c>
      <c r="X36" s="7" t="s">
        <v>1202</v>
      </c>
      <c r="Y36" s="7"/>
      <c r="Z36" s="7"/>
      <c r="AA36" s="7" t="b">
        <v>1</v>
      </c>
      <c r="AB36" s="7">
        <v>0</v>
      </c>
      <c r="AC36" s="14" t="s">
        <v>558</v>
      </c>
      <c r="AD36" s="7"/>
      <c r="AE36" s="7" t="s">
        <v>1369</v>
      </c>
      <c r="AF36" s="10" t="s">
        <v>1220</v>
      </c>
      <c r="AG36" s="14" t="s">
        <v>1431</v>
      </c>
      <c r="AH36" s="10"/>
      <c r="AI36" s="12"/>
      <c r="AJ36" s="3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row>
    <row r="37" spans="1:172" s="69" customFormat="1" ht="14" customHeight="1" x14ac:dyDescent="0.2">
      <c r="A37" s="49" t="s">
        <v>553</v>
      </c>
      <c r="B37" s="54">
        <v>132</v>
      </c>
      <c r="C37" s="54">
        <v>136</v>
      </c>
      <c r="D37" s="55">
        <v>134</v>
      </c>
      <c r="E37" s="54">
        <v>-22</v>
      </c>
      <c r="F37" s="52">
        <v>-47.5</v>
      </c>
      <c r="G37" s="58">
        <v>92</v>
      </c>
      <c r="H37" s="54">
        <v>174</v>
      </c>
      <c r="I37" s="54">
        <v>34</v>
      </c>
      <c r="J37" s="52">
        <v>39</v>
      </c>
      <c r="K37" s="52">
        <v>2.4</v>
      </c>
      <c r="L37" s="55">
        <v>-83</v>
      </c>
      <c r="M37" s="58">
        <v>71.400000000000006</v>
      </c>
      <c r="N37" s="54">
        <v>39</v>
      </c>
      <c r="O37" s="52">
        <v>2.4</v>
      </c>
      <c r="P37" s="54" t="s">
        <v>1203</v>
      </c>
      <c r="Q37" s="54" t="s">
        <v>1203</v>
      </c>
      <c r="R37" s="52">
        <v>201</v>
      </c>
      <c r="S37" s="55">
        <v>-49.553762984653098</v>
      </c>
      <c r="T37" s="55">
        <v>85.564256630866595</v>
      </c>
      <c r="U37" s="54">
        <v>50</v>
      </c>
      <c r="V37" s="54">
        <v>-32.5</v>
      </c>
      <c r="W37" s="54">
        <v>55.08</v>
      </c>
      <c r="X37" s="52" t="s">
        <v>1202</v>
      </c>
      <c r="Y37" s="56"/>
      <c r="Z37" s="56"/>
      <c r="AA37" s="52" t="b">
        <v>1</v>
      </c>
      <c r="AB37" s="52" t="s">
        <v>31</v>
      </c>
      <c r="AC37" s="49" t="s">
        <v>554</v>
      </c>
      <c r="AD37" s="59">
        <v>3422</v>
      </c>
      <c r="AE37" s="52" t="s">
        <v>147</v>
      </c>
      <c r="AF37" s="56" t="s">
        <v>556</v>
      </c>
      <c r="AG37" s="49" t="s">
        <v>555</v>
      </c>
      <c r="AH37" s="56"/>
      <c r="AI37" s="12"/>
      <c r="AJ37" s="3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row>
    <row r="38" spans="1:172" s="69" customFormat="1" ht="14" customHeight="1" x14ac:dyDescent="0.2">
      <c r="A38" s="49" t="s">
        <v>573</v>
      </c>
      <c r="B38" s="54">
        <v>125</v>
      </c>
      <c r="C38" s="54">
        <v>167</v>
      </c>
      <c r="D38" s="55">
        <v>146</v>
      </c>
      <c r="E38" s="52">
        <v>-5.7</v>
      </c>
      <c r="F38" s="52">
        <v>-36.6</v>
      </c>
      <c r="G38" s="58">
        <v>10</v>
      </c>
      <c r="H38" s="52">
        <v>186.6</v>
      </c>
      <c r="I38" s="52">
        <v>20.8</v>
      </c>
      <c r="J38" s="52">
        <v>12.6</v>
      </c>
      <c r="K38" s="52">
        <v>14.1</v>
      </c>
      <c r="L38" s="55">
        <v>-80.599999999999994</v>
      </c>
      <c r="M38" s="55">
        <v>275</v>
      </c>
      <c r="N38" s="54">
        <v>26.7</v>
      </c>
      <c r="O38" s="54">
        <v>9.5</v>
      </c>
      <c r="P38" s="54" t="s">
        <v>1203</v>
      </c>
      <c r="Q38" s="54" t="s">
        <v>1203</v>
      </c>
      <c r="R38" s="52">
        <v>201</v>
      </c>
      <c r="S38" s="55">
        <v>-59.276631947269003</v>
      </c>
      <c r="T38" s="55">
        <v>63.323849074521902</v>
      </c>
      <c r="U38" s="54">
        <v>50</v>
      </c>
      <c r="V38" s="54">
        <v>-32.5</v>
      </c>
      <c r="W38" s="54">
        <v>55.08</v>
      </c>
      <c r="X38" s="52" t="s">
        <v>1202</v>
      </c>
      <c r="Y38" s="56"/>
      <c r="Z38" s="56"/>
      <c r="AA38" s="52" t="b">
        <v>1</v>
      </c>
      <c r="AB38" s="52" t="s">
        <v>31</v>
      </c>
      <c r="AC38" s="49" t="s">
        <v>574</v>
      </c>
      <c r="AD38" s="52">
        <v>1509</v>
      </c>
      <c r="AE38" s="52" t="s">
        <v>147</v>
      </c>
      <c r="AF38" s="56" t="s">
        <v>575</v>
      </c>
      <c r="AG38" s="49"/>
      <c r="AH38" s="56" t="s">
        <v>1361</v>
      </c>
      <c r="AI38" s="12"/>
      <c r="AJ38" s="3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row>
    <row r="39" spans="1:172" s="69" customFormat="1" ht="14" customHeight="1" x14ac:dyDescent="0.15">
      <c r="A39" s="14" t="s">
        <v>636</v>
      </c>
      <c r="B39" s="9">
        <v>173</v>
      </c>
      <c r="C39" s="9">
        <v>177</v>
      </c>
      <c r="D39" s="13">
        <v>175</v>
      </c>
      <c r="E39" s="9">
        <v>-6.4</v>
      </c>
      <c r="F39" s="9">
        <v>-47.4</v>
      </c>
      <c r="G39" s="6">
        <v>15</v>
      </c>
      <c r="H39" s="9">
        <v>3.9</v>
      </c>
      <c r="I39" s="9">
        <v>-17.899999999999999</v>
      </c>
      <c r="J39" s="9">
        <v>17.899999999999999</v>
      </c>
      <c r="K39" s="9">
        <v>9.3000000000000007</v>
      </c>
      <c r="L39" s="13">
        <v>-85.3</v>
      </c>
      <c r="M39" s="13">
        <v>262.5</v>
      </c>
      <c r="N39" s="9">
        <v>31.8</v>
      </c>
      <c r="O39" s="9">
        <v>6.9</v>
      </c>
      <c r="P39" s="37" t="s">
        <v>1203</v>
      </c>
      <c r="Q39" s="37" t="s">
        <v>1203</v>
      </c>
      <c r="R39" s="7">
        <v>201</v>
      </c>
      <c r="S39" s="13">
        <v>-58.475864916395103</v>
      </c>
      <c r="T39" s="13">
        <v>72.717631304769498</v>
      </c>
      <c r="U39" s="9">
        <v>50</v>
      </c>
      <c r="V39" s="9">
        <v>-32.5</v>
      </c>
      <c r="W39" s="9">
        <v>55.08</v>
      </c>
      <c r="X39" s="7" t="s">
        <v>1202</v>
      </c>
      <c r="Y39" s="10"/>
      <c r="Z39" s="10"/>
      <c r="AA39" s="7" t="b">
        <v>1</v>
      </c>
      <c r="AB39" s="7">
        <v>0</v>
      </c>
      <c r="AC39" s="14" t="s">
        <v>510</v>
      </c>
      <c r="AD39" s="7">
        <v>1431</v>
      </c>
      <c r="AE39" s="7" t="s">
        <v>147</v>
      </c>
      <c r="AF39" s="10" t="s">
        <v>1434</v>
      </c>
      <c r="AG39" s="14"/>
      <c r="AH39" s="10"/>
      <c r="AI39" s="12"/>
      <c r="AJ39" s="3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row>
    <row r="40" spans="1:172" s="69" customFormat="1" ht="14" customHeight="1" x14ac:dyDescent="0.2">
      <c r="A40" s="14" t="s">
        <v>718</v>
      </c>
      <c r="B40" s="9">
        <v>190.3</v>
      </c>
      <c r="C40" s="9">
        <v>200.3</v>
      </c>
      <c r="D40" s="13">
        <v>195.3</v>
      </c>
      <c r="E40" s="9">
        <v>3.5</v>
      </c>
      <c r="F40" s="9">
        <v>307.5</v>
      </c>
      <c r="G40" s="34">
        <v>26</v>
      </c>
      <c r="H40" s="9"/>
      <c r="I40" s="9"/>
      <c r="J40" s="9"/>
      <c r="K40" s="9"/>
      <c r="L40" s="13">
        <v>-81.2</v>
      </c>
      <c r="M40" s="13">
        <v>235.1</v>
      </c>
      <c r="N40" s="9">
        <v>50.7</v>
      </c>
      <c r="O40" s="9">
        <v>4</v>
      </c>
      <c r="P40" s="9" t="s">
        <v>1203</v>
      </c>
      <c r="Q40" s="9" t="s">
        <v>1203</v>
      </c>
      <c r="R40" s="7">
        <v>201</v>
      </c>
      <c r="S40" s="13">
        <v>-63.580093322833498</v>
      </c>
      <c r="T40" s="13">
        <v>72.725014188020694</v>
      </c>
      <c r="U40" s="9">
        <v>50</v>
      </c>
      <c r="V40" s="9">
        <v>-32.5</v>
      </c>
      <c r="W40" s="9">
        <v>55.08</v>
      </c>
      <c r="X40" s="7" t="s">
        <v>1202</v>
      </c>
      <c r="Y40" s="10"/>
      <c r="Z40" s="10"/>
      <c r="AA40" s="7" t="b">
        <v>1</v>
      </c>
      <c r="AB40" s="7">
        <v>0</v>
      </c>
      <c r="AC40" s="14" t="s">
        <v>719</v>
      </c>
      <c r="AD40" s="30">
        <v>3378</v>
      </c>
      <c r="AE40" s="7" t="s">
        <v>147</v>
      </c>
      <c r="AF40" s="10" t="s">
        <v>720</v>
      </c>
      <c r="AG40" s="14"/>
      <c r="AH40" s="10"/>
      <c r="AI40" s="12"/>
      <c r="AJ40" s="3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row>
    <row r="41" spans="1:172" s="70" customFormat="1" ht="14" customHeight="1" x14ac:dyDescent="0.2">
      <c r="A41" s="49" t="s">
        <v>723</v>
      </c>
      <c r="B41" s="54">
        <v>196.2</v>
      </c>
      <c r="C41" s="54">
        <v>197</v>
      </c>
      <c r="D41" s="58">
        <v>196.6</v>
      </c>
      <c r="E41" s="52">
        <v>-13.5</v>
      </c>
      <c r="F41" s="54">
        <v>301</v>
      </c>
      <c r="G41" s="58">
        <v>15</v>
      </c>
      <c r="H41" s="54">
        <v>21.2</v>
      </c>
      <c r="I41" s="54">
        <v>-46.3</v>
      </c>
      <c r="J41" s="54">
        <v>102.8</v>
      </c>
      <c r="K41" s="54">
        <v>3.8</v>
      </c>
      <c r="L41" s="55">
        <v>-65.5</v>
      </c>
      <c r="M41" s="55">
        <v>250.3</v>
      </c>
      <c r="N41" s="54">
        <v>113.8</v>
      </c>
      <c r="O41" s="54">
        <v>3.6</v>
      </c>
      <c r="P41" s="54" t="s">
        <v>1203</v>
      </c>
      <c r="Q41" s="54" t="s">
        <v>1203</v>
      </c>
      <c r="R41" s="52">
        <v>201</v>
      </c>
      <c r="S41" s="55">
        <v>-70.561381780279305</v>
      </c>
      <c r="T41" s="55">
        <v>34.272955609195499</v>
      </c>
      <c r="U41" s="54">
        <v>50</v>
      </c>
      <c r="V41" s="54">
        <v>-32.5</v>
      </c>
      <c r="W41" s="54">
        <v>55.08</v>
      </c>
      <c r="X41" s="52" t="s">
        <v>1202</v>
      </c>
      <c r="Y41" s="56"/>
      <c r="Z41" s="56"/>
      <c r="AA41" s="52" t="b">
        <v>0</v>
      </c>
      <c r="AB41" s="52">
        <v>0</v>
      </c>
      <c r="AC41" s="49" t="s">
        <v>379</v>
      </c>
      <c r="AD41" s="52">
        <v>3316</v>
      </c>
      <c r="AE41" s="52" t="s">
        <v>147</v>
      </c>
      <c r="AF41" s="66" t="s">
        <v>724</v>
      </c>
      <c r="AG41" s="49"/>
      <c r="AH41" s="56"/>
      <c r="AI41" s="17"/>
      <c r="AJ41" s="32"/>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row>
    <row r="42" spans="1:172" s="69" customFormat="1" ht="14" customHeight="1" x14ac:dyDescent="0.2">
      <c r="A42" s="56" t="s">
        <v>723</v>
      </c>
      <c r="B42" s="54">
        <v>196.2</v>
      </c>
      <c r="C42" s="54">
        <v>197</v>
      </c>
      <c r="D42" s="55">
        <v>196.6</v>
      </c>
      <c r="E42" s="54">
        <v>-12</v>
      </c>
      <c r="F42" s="54">
        <v>-60</v>
      </c>
      <c r="G42" s="53">
        <v>15</v>
      </c>
      <c r="H42" s="54">
        <v>21.2</v>
      </c>
      <c r="I42" s="54">
        <v>-46.3</v>
      </c>
      <c r="J42" s="54">
        <v>103.1</v>
      </c>
      <c r="K42" s="54">
        <v>3.8</v>
      </c>
      <c r="L42" s="55">
        <v>-65.5</v>
      </c>
      <c r="M42" s="55">
        <v>250.3</v>
      </c>
      <c r="N42" s="54">
        <v>113.8</v>
      </c>
      <c r="O42" s="54">
        <v>3.6</v>
      </c>
      <c r="P42" s="54" t="s">
        <v>1203</v>
      </c>
      <c r="Q42" s="54" t="s">
        <v>1203</v>
      </c>
      <c r="R42" s="52">
        <v>201</v>
      </c>
      <c r="S42" s="55">
        <v>-70.561381780279305</v>
      </c>
      <c r="T42" s="55">
        <v>34.272955609195499</v>
      </c>
      <c r="U42" s="54">
        <v>50</v>
      </c>
      <c r="V42" s="54">
        <v>-32.5</v>
      </c>
      <c r="W42" s="54">
        <v>55.08</v>
      </c>
      <c r="X42" s="52" t="s">
        <v>1202</v>
      </c>
      <c r="Y42" s="56"/>
      <c r="Z42" s="54"/>
      <c r="AA42" s="52" t="b">
        <v>0</v>
      </c>
      <c r="AB42" s="52">
        <v>0</v>
      </c>
      <c r="AC42" s="56" t="s">
        <v>725</v>
      </c>
      <c r="AD42" s="52"/>
      <c r="AE42" s="52" t="s">
        <v>1369</v>
      </c>
      <c r="AF42" s="56" t="s">
        <v>726</v>
      </c>
      <c r="AG42" s="49"/>
      <c r="AH42" s="67"/>
      <c r="AI42" s="12"/>
      <c r="AJ42" s="3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row>
    <row r="43" spans="1:172" s="69" customFormat="1" ht="14" customHeight="1" x14ac:dyDescent="0.2">
      <c r="A43" s="10" t="s">
        <v>730</v>
      </c>
      <c r="B43" s="9">
        <v>192.7</v>
      </c>
      <c r="C43" s="9">
        <v>202</v>
      </c>
      <c r="D43" s="13">
        <f>AVERAGE(B43,C43)</f>
        <v>197.35</v>
      </c>
      <c r="E43" s="9">
        <v>2.5</v>
      </c>
      <c r="F43" s="9">
        <f>360-51.5</f>
        <v>308.5</v>
      </c>
      <c r="G43" s="6">
        <v>17</v>
      </c>
      <c r="H43" s="7"/>
      <c r="I43" s="7"/>
      <c r="J43" s="7"/>
      <c r="K43" s="7"/>
      <c r="L43" s="6">
        <v>-79.8</v>
      </c>
      <c r="M43" s="13">
        <v>208.6</v>
      </c>
      <c r="N43" s="9">
        <v>48</v>
      </c>
      <c r="O43" s="9">
        <v>5.2</v>
      </c>
      <c r="P43" s="9" t="s">
        <v>1203</v>
      </c>
      <c r="Q43" s="9" t="s">
        <v>1203</v>
      </c>
      <c r="R43" s="7">
        <v>201</v>
      </c>
      <c r="S43" s="13">
        <v>-65.512960188242999</v>
      </c>
      <c r="T43" s="13">
        <v>82.312427555090693</v>
      </c>
      <c r="U43" s="9">
        <v>50</v>
      </c>
      <c r="V43" s="9">
        <v>-32.5</v>
      </c>
      <c r="W43" s="9">
        <v>55.08</v>
      </c>
      <c r="X43" s="7" t="s">
        <v>1202</v>
      </c>
      <c r="Y43" s="7"/>
      <c r="Z43" s="7"/>
      <c r="AA43" s="10" t="b">
        <v>1</v>
      </c>
      <c r="AB43" s="7">
        <v>0</v>
      </c>
      <c r="AC43" s="14" t="s">
        <v>731</v>
      </c>
      <c r="AD43" s="7"/>
      <c r="AE43" s="7" t="s">
        <v>1369</v>
      </c>
      <c r="AF43" s="10" t="s">
        <v>732</v>
      </c>
      <c r="AG43" s="14"/>
      <c r="AH43" s="10"/>
      <c r="AI43" s="12"/>
      <c r="AJ43" s="3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row>
    <row r="44" spans="1:172" s="69" customFormat="1" ht="14" customHeight="1" x14ac:dyDescent="0.2">
      <c r="A44" s="49" t="s">
        <v>733</v>
      </c>
      <c r="B44" s="54">
        <v>194</v>
      </c>
      <c r="C44" s="54">
        <v>204</v>
      </c>
      <c r="D44" s="55">
        <v>199</v>
      </c>
      <c r="E44" s="54">
        <v>7.5</v>
      </c>
      <c r="F44" s="54">
        <v>296.8</v>
      </c>
      <c r="G44" s="53">
        <v>5</v>
      </c>
      <c r="H44" s="54">
        <v>17.899999999999999</v>
      </c>
      <c r="I44" s="54">
        <v>-14</v>
      </c>
      <c r="J44" s="54">
        <v>245.6</v>
      </c>
      <c r="K44" s="54">
        <v>4.9000000000000004</v>
      </c>
      <c r="L44" s="55">
        <v>-66.900000000000006</v>
      </c>
      <c r="M44" s="55">
        <v>245.6</v>
      </c>
      <c r="N44" s="54"/>
      <c r="O44" s="54"/>
      <c r="P44" s="54">
        <v>566.43404481054256</v>
      </c>
      <c r="Q44" s="54">
        <v>3.2178012381199461</v>
      </c>
      <c r="R44" s="52">
        <v>201</v>
      </c>
      <c r="S44" s="55">
        <v>-71.879933563562801</v>
      </c>
      <c r="T44" s="55">
        <v>40.345689844583703</v>
      </c>
      <c r="U44" s="54">
        <v>50</v>
      </c>
      <c r="V44" s="54">
        <v>-32.5</v>
      </c>
      <c r="W44" s="54">
        <v>55.08</v>
      </c>
      <c r="X44" s="52" t="s">
        <v>1202</v>
      </c>
      <c r="Y44" s="52"/>
      <c r="Z44" s="52"/>
      <c r="AA44" s="52" t="b">
        <v>0</v>
      </c>
      <c r="AB44" s="52" t="s">
        <v>31</v>
      </c>
      <c r="AC44" s="49" t="s">
        <v>734</v>
      </c>
      <c r="AD44" s="52">
        <v>150</v>
      </c>
      <c r="AE44" s="52" t="s">
        <v>147</v>
      </c>
      <c r="AF44" s="56" t="s">
        <v>736</v>
      </c>
      <c r="AG44" s="49"/>
      <c r="AH44" s="56" t="s">
        <v>735</v>
      </c>
      <c r="AI44" s="12"/>
      <c r="AJ44" s="3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row>
    <row r="45" spans="1:172" s="70" customFormat="1" ht="14" customHeight="1" x14ac:dyDescent="0.2">
      <c r="A45" s="10" t="s">
        <v>737</v>
      </c>
      <c r="B45" s="9">
        <v>197.4</v>
      </c>
      <c r="C45" s="9">
        <v>201.1</v>
      </c>
      <c r="D45" s="13">
        <f>AVERAGE(B45,C45)</f>
        <v>199.25</v>
      </c>
      <c r="E45" s="9">
        <v>2.1</v>
      </c>
      <c r="F45" s="9">
        <v>-63.3</v>
      </c>
      <c r="G45" s="34">
        <v>7</v>
      </c>
      <c r="H45" s="9"/>
      <c r="I45" s="9"/>
      <c r="J45" s="9"/>
      <c r="K45" s="9"/>
      <c r="L45" s="13">
        <v>-80.099999999999994</v>
      </c>
      <c r="M45" s="13">
        <v>235</v>
      </c>
      <c r="N45" s="9">
        <v>84.6</v>
      </c>
      <c r="O45" s="9">
        <v>6.6</v>
      </c>
      <c r="P45" s="9" t="s">
        <v>1203</v>
      </c>
      <c r="Q45" s="9" t="s">
        <v>1203</v>
      </c>
      <c r="R45" s="7">
        <v>201</v>
      </c>
      <c r="S45" s="13">
        <v>-64.580323647931493</v>
      </c>
      <c r="T45" s="13">
        <v>71.676939055424</v>
      </c>
      <c r="U45" s="9">
        <v>50</v>
      </c>
      <c r="V45" s="9">
        <v>-32.5</v>
      </c>
      <c r="W45" s="9">
        <v>55.08</v>
      </c>
      <c r="X45" s="7" t="s">
        <v>1202</v>
      </c>
      <c r="Y45" s="10"/>
      <c r="Z45" s="9"/>
      <c r="AA45" s="7" t="b">
        <v>1</v>
      </c>
      <c r="AB45" s="7">
        <v>0</v>
      </c>
      <c r="AC45" s="10" t="s">
        <v>731</v>
      </c>
      <c r="AD45" s="7"/>
      <c r="AE45" s="7" t="s">
        <v>1369</v>
      </c>
      <c r="AF45" s="10" t="s">
        <v>738</v>
      </c>
      <c r="AG45" s="14"/>
      <c r="AH45" s="10"/>
      <c r="AI45" s="17"/>
      <c r="AJ45" s="32"/>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row>
    <row r="46" spans="1:172" s="69" customFormat="1" ht="14" customHeight="1" x14ac:dyDescent="0.2">
      <c r="A46" s="14" t="s">
        <v>787</v>
      </c>
      <c r="B46" s="9">
        <v>227</v>
      </c>
      <c r="C46" s="9">
        <v>237</v>
      </c>
      <c r="D46" s="13">
        <v>232</v>
      </c>
      <c r="E46" s="9">
        <v>4</v>
      </c>
      <c r="F46" s="9">
        <v>305</v>
      </c>
      <c r="G46" s="6">
        <v>10</v>
      </c>
      <c r="H46" s="9">
        <v>358</v>
      </c>
      <c r="I46" s="9">
        <v>-7</v>
      </c>
      <c r="J46" s="9">
        <v>25</v>
      </c>
      <c r="K46" s="9">
        <v>10</v>
      </c>
      <c r="L46" s="13">
        <v>-82</v>
      </c>
      <c r="M46" s="13">
        <v>320</v>
      </c>
      <c r="N46" s="9"/>
      <c r="O46" s="9"/>
      <c r="P46" s="9">
        <v>61.253054932657058</v>
      </c>
      <c r="Q46" s="9">
        <v>6.2214860841554085</v>
      </c>
      <c r="R46" s="7">
        <v>201</v>
      </c>
      <c r="S46" s="13">
        <v>-52.735673782193302</v>
      </c>
      <c r="T46" s="13">
        <v>66.403751621206993</v>
      </c>
      <c r="U46" s="9">
        <v>50</v>
      </c>
      <c r="V46" s="9">
        <v>-32.5</v>
      </c>
      <c r="W46" s="9">
        <v>55.08</v>
      </c>
      <c r="X46" s="7" t="s">
        <v>1202</v>
      </c>
      <c r="Y46" s="10"/>
      <c r="Z46" s="10"/>
      <c r="AA46" s="7" t="b">
        <v>1</v>
      </c>
      <c r="AB46" s="7">
        <v>0</v>
      </c>
      <c r="AC46" s="14" t="s">
        <v>788</v>
      </c>
      <c r="AD46" s="7">
        <v>701</v>
      </c>
      <c r="AE46" s="7" t="s">
        <v>147</v>
      </c>
      <c r="AF46" s="10" t="s">
        <v>789</v>
      </c>
      <c r="AG46" s="14"/>
      <c r="AH46" s="10"/>
      <c r="AI46" s="12"/>
      <c r="AJ46" s="3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row>
    <row r="47" spans="1:172" s="70" customFormat="1" ht="14" customHeight="1" x14ac:dyDescent="0.2">
      <c r="A47" s="10" t="s">
        <v>801</v>
      </c>
      <c r="B47" s="9">
        <f>241.5-1.3</f>
        <v>240.2</v>
      </c>
      <c r="C47" s="9">
        <f>241.5+1.3</f>
        <v>242.8</v>
      </c>
      <c r="D47" s="13">
        <v>241.5</v>
      </c>
      <c r="E47" s="9">
        <v>-21.5</v>
      </c>
      <c r="F47" s="9">
        <v>-57.9</v>
      </c>
      <c r="G47" s="34">
        <v>26</v>
      </c>
      <c r="H47" s="9">
        <v>183.3</v>
      </c>
      <c r="I47" s="9">
        <v>48.9</v>
      </c>
      <c r="J47" s="9">
        <v>15</v>
      </c>
      <c r="K47" s="9">
        <v>15.8</v>
      </c>
      <c r="L47" s="13">
        <v>-78</v>
      </c>
      <c r="M47" s="13">
        <v>319</v>
      </c>
      <c r="N47" s="9">
        <v>23</v>
      </c>
      <c r="O47" s="9">
        <v>6</v>
      </c>
      <c r="P47" s="9" t="s">
        <v>1203</v>
      </c>
      <c r="Q47" s="9" t="s">
        <v>1203</v>
      </c>
      <c r="R47" s="7">
        <v>201</v>
      </c>
      <c r="S47" s="13">
        <v>-51.100835066603103</v>
      </c>
      <c r="T47" s="13">
        <v>60.4756533744604</v>
      </c>
      <c r="U47" s="9">
        <v>50</v>
      </c>
      <c r="V47" s="9">
        <v>-32.5</v>
      </c>
      <c r="W47" s="9">
        <v>55.08</v>
      </c>
      <c r="X47" s="7" t="s">
        <v>1202</v>
      </c>
      <c r="Y47" s="10"/>
      <c r="Z47" s="9"/>
      <c r="AA47" s="7" t="b">
        <v>1</v>
      </c>
      <c r="AB47" s="7">
        <v>0</v>
      </c>
      <c r="AC47" s="10" t="s">
        <v>802</v>
      </c>
      <c r="AD47" s="7"/>
      <c r="AE47" s="7" t="s">
        <v>1369</v>
      </c>
      <c r="AF47" s="10" t="s">
        <v>803</v>
      </c>
      <c r="AG47" s="14"/>
      <c r="AH47" s="10"/>
      <c r="AI47" s="17"/>
      <c r="AJ47" s="32"/>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row>
    <row r="48" spans="1:172" s="69" customFormat="1" ht="14" customHeight="1" x14ac:dyDescent="0.2">
      <c r="A48" s="56" t="s">
        <v>861</v>
      </c>
      <c r="B48" s="54">
        <v>246.7</v>
      </c>
      <c r="C48" s="54">
        <v>259.5</v>
      </c>
      <c r="D48" s="55">
        <f>(B48+C48)/2</f>
        <v>253.1</v>
      </c>
      <c r="E48" s="52">
        <v>-5.92</v>
      </c>
      <c r="F48" s="52">
        <v>-78.069999999999993</v>
      </c>
      <c r="G48" s="58">
        <v>6</v>
      </c>
      <c r="H48" s="54">
        <v>352.6</v>
      </c>
      <c r="I48" s="54">
        <v>-40.200000000000003</v>
      </c>
      <c r="J48" s="54">
        <v>125.5</v>
      </c>
      <c r="K48" s="54">
        <v>6</v>
      </c>
      <c r="L48" s="55">
        <v>-71.400000000000006</v>
      </c>
      <c r="M48" s="58">
        <v>303.60000000000002</v>
      </c>
      <c r="N48" s="54">
        <v>139.1</v>
      </c>
      <c r="O48" s="52">
        <v>5.7</v>
      </c>
      <c r="P48" s="54" t="s">
        <v>1203</v>
      </c>
      <c r="Q48" s="54" t="s">
        <v>1203</v>
      </c>
      <c r="R48" s="52">
        <v>201</v>
      </c>
      <c r="S48" s="55">
        <v>-51.910542487056397</v>
      </c>
      <c r="T48" s="55">
        <v>48.1642928311785</v>
      </c>
      <c r="U48" s="54">
        <v>50</v>
      </c>
      <c r="V48" s="54">
        <v>-32.5</v>
      </c>
      <c r="W48" s="54">
        <v>55.08</v>
      </c>
      <c r="X48" s="52" t="s">
        <v>1204</v>
      </c>
      <c r="Y48" s="56"/>
      <c r="Z48" s="56"/>
      <c r="AA48" s="52" t="b">
        <v>0</v>
      </c>
      <c r="AB48" s="52" t="s">
        <v>165</v>
      </c>
      <c r="AC48" s="49" t="s">
        <v>862</v>
      </c>
      <c r="AD48" s="52">
        <v>3524</v>
      </c>
      <c r="AE48" s="52" t="s">
        <v>147</v>
      </c>
      <c r="AF48" s="56" t="s">
        <v>1398</v>
      </c>
      <c r="AG48" s="49"/>
      <c r="AH48" s="56"/>
      <c r="AI48" s="12"/>
      <c r="AJ48" s="3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row>
    <row r="49" spans="1:172" s="69" customFormat="1" ht="14" customHeight="1" x14ac:dyDescent="0.2">
      <c r="A49" s="10" t="s">
        <v>877</v>
      </c>
      <c r="B49" s="9">
        <f>D49-2.5</f>
        <v>252.2</v>
      </c>
      <c r="C49" s="9">
        <f>254.7+2.5</f>
        <v>257.2</v>
      </c>
      <c r="D49" s="13">
        <v>254.7</v>
      </c>
      <c r="E49" s="9">
        <v>-16.8</v>
      </c>
      <c r="F49" s="9">
        <v>-53</v>
      </c>
      <c r="G49" s="34">
        <v>28</v>
      </c>
      <c r="H49" s="9">
        <v>357.4</v>
      </c>
      <c r="I49" s="9">
        <v>-38.9</v>
      </c>
      <c r="J49" s="9">
        <v>62.35</v>
      </c>
      <c r="K49" s="9">
        <v>3.5</v>
      </c>
      <c r="L49" s="13">
        <v>-84.2</v>
      </c>
      <c r="M49" s="13">
        <v>326.60000000000002</v>
      </c>
      <c r="N49" s="9">
        <v>83.5</v>
      </c>
      <c r="O49" s="9">
        <v>3.6</v>
      </c>
      <c r="P49" s="9" t="s">
        <v>1203</v>
      </c>
      <c r="Q49" s="9" t="s">
        <v>1203</v>
      </c>
      <c r="R49" s="7">
        <v>201</v>
      </c>
      <c r="S49" s="13">
        <v>-53.004957177732301</v>
      </c>
      <c r="T49" s="13">
        <v>70.246706163934604</v>
      </c>
      <c r="U49" s="9">
        <v>50</v>
      </c>
      <c r="V49" s="9">
        <v>-32.5</v>
      </c>
      <c r="W49" s="9">
        <v>55.08</v>
      </c>
      <c r="X49" s="7" t="s">
        <v>1202</v>
      </c>
      <c r="Y49" s="10"/>
      <c r="Z49" s="9"/>
      <c r="AA49" s="7" t="b">
        <v>1</v>
      </c>
      <c r="AB49" s="7">
        <v>0</v>
      </c>
      <c r="AC49" s="10" t="s">
        <v>878</v>
      </c>
      <c r="AD49" s="7"/>
      <c r="AE49" s="7" t="s">
        <v>1369</v>
      </c>
      <c r="AF49" s="10" t="s">
        <v>1210</v>
      </c>
      <c r="AG49" s="14" t="s">
        <v>1237</v>
      </c>
      <c r="AH49" s="10"/>
      <c r="AI49" s="12"/>
      <c r="AJ49" s="3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row>
    <row r="50" spans="1:172" s="69" customFormat="1" ht="14" customHeight="1" x14ac:dyDescent="0.2">
      <c r="A50" s="56" t="s">
        <v>908</v>
      </c>
      <c r="B50" s="54">
        <v>251.9</v>
      </c>
      <c r="C50" s="54">
        <v>274.39999999999998</v>
      </c>
      <c r="D50" s="55">
        <v>263.14999999999998</v>
      </c>
      <c r="E50" s="54">
        <v>-25.5</v>
      </c>
      <c r="F50" s="54">
        <f>360-55.9</f>
        <v>304.10000000000002</v>
      </c>
      <c r="G50" s="58">
        <v>10</v>
      </c>
      <c r="H50" s="54"/>
      <c r="I50" s="54"/>
      <c r="J50" s="54">
        <v>54.5</v>
      </c>
      <c r="K50" s="54">
        <v>6.6</v>
      </c>
      <c r="L50" s="55">
        <v>-80.7</v>
      </c>
      <c r="M50" s="55">
        <v>7</v>
      </c>
      <c r="N50" s="54">
        <v>54.5</v>
      </c>
      <c r="O50" s="54">
        <v>6.6</v>
      </c>
      <c r="P50" s="54" t="s">
        <v>1203</v>
      </c>
      <c r="Q50" s="54" t="s">
        <v>1203</v>
      </c>
      <c r="R50" s="52">
        <v>201</v>
      </c>
      <c r="S50" s="55">
        <v>-47.061585094127302</v>
      </c>
      <c r="T50" s="55">
        <v>72.727758736431696</v>
      </c>
      <c r="U50" s="54">
        <v>50</v>
      </c>
      <c r="V50" s="54">
        <v>-32.5</v>
      </c>
      <c r="W50" s="54">
        <v>55.08</v>
      </c>
      <c r="X50" s="52" t="s">
        <v>1204</v>
      </c>
      <c r="Y50" s="56"/>
      <c r="Z50" s="56"/>
      <c r="AA50" s="52" t="b">
        <v>1</v>
      </c>
      <c r="AB50" s="52" t="s">
        <v>165</v>
      </c>
      <c r="AC50" s="49" t="s">
        <v>909</v>
      </c>
      <c r="AD50" s="52"/>
      <c r="AE50" s="52" t="s">
        <v>147</v>
      </c>
      <c r="AF50" s="56" t="s">
        <v>1364</v>
      </c>
      <c r="AG50" s="49"/>
      <c r="AH50" s="56" t="s">
        <v>1361</v>
      </c>
      <c r="AI50" s="12"/>
      <c r="AJ50" s="3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row>
    <row r="51" spans="1:172" s="69" customFormat="1" ht="14" customHeight="1" x14ac:dyDescent="0.2">
      <c r="A51" s="10" t="s">
        <v>1084</v>
      </c>
      <c r="B51" s="9">
        <v>283.3</v>
      </c>
      <c r="C51" s="9">
        <v>298.89999999999998</v>
      </c>
      <c r="D51" s="13">
        <f>AVERAGE(B51,C51)</f>
        <v>291.10000000000002</v>
      </c>
      <c r="E51" s="9">
        <v>-27.17</v>
      </c>
      <c r="F51" s="9">
        <f>360-49.58</f>
        <v>310.42</v>
      </c>
      <c r="G51" s="34">
        <v>119</v>
      </c>
      <c r="H51" s="9">
        <v>156.69999999999999</v>
      </c>
      <c r="I51" s="9">
        <v>65.400000000000006</v>
      </c>
      <c r="J51" s="9">
        <v>70.8</v>
      </c>
      <c r="K51" s="9">
        <v>1.5</v>
      </c>
      <c r="L51" s="13">
        <v>-63.2</v>
      </c>
      <c r="M51" s="13">
        <v>347.5</v>
      </c>
      <c r="N51" s="9">
        <v>32.700000000000003</v>
      </c>
      <c r="O51" s="9">
        <v>2.2999999999999998</v>
      </c>
      <c r="P51" s="9" t="s">
        <v>1203</v>
      </c>
      <c r="Q51" s="9" t="s">
        <v>1203</v>
      </c>
      <c r="R51" s="7">
        <v>201</v>
      </c>
      <c r="S51" s="13">
        <v>-34.362229576429499</v>
      </c>
      <c r="T51" s="13">
        <v>55.236899195544098</v>
      </c>
      <c r="U51" s="9">
        <v>50</v>
      </c>
      <c r="V51" s="9">
        <v>-32.5</v>
      </c>
      <c r="W51" s="9">
        <v>55.08</v>
      </c>
      <c r="X51" s="7" t="s">
        <v>1204</v>
      </c>
      <c r="Y51" s="7">
        <v>0.75</v>
      </c>
      <c r="Z51" s="9">
        <v>6</v>
      </c>
      <c r="AA51" s="7" t="s">
        <v>148</v>
      </c>
      <c r="AB51" s="7">
        <v>0</v>
      </c>
      <c r="AC51" s="10" t="s">
        <v>1085</v>
      </c>
      <c r="AD51" s="7"/>
      <c r="AE51" s="7" t="s">
        <v>1369</v>
      </c>
      <c r="AF51" s="10" t="s">
        <v>1088</v>
      </c>
      <c r="AG51" s="14" t="s">
        <v>1086</v>
      </c>
      <c r="AH51" s="10" t="s">
        <v>1087</v>
      </c>
      <c r="AI51" s="12"/>
      <c r="AJ51" s="3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row>
    <row r="52" spans="1:172" s="70" customFormat="1" ht="14" customHeight="1" x14ac:dyDescent="0.2">
      <c r="A52" s="56" t="s">
        <v>1120</v>
      </c>
      <c r="B52" s="54">
        <v>290.5</v>
      </c>
      <c r="C52" s="54">
        <v>298.89999999999998</v>
      </c>
      <c r="D52" s="55">
        <v>294.7</v>
      </c>
      <c r="E52" s="54">
        <v>-12.2</v>
      </c>
      <c r="F52" s="54">
        <v>287.2</v>
      </c>
      <c r="G52" s="53">
        <v>9</v>
      </c>
      <c r="H52" s="54">
        <v>166.1</v>
      </c>
      <c r="I52" s="54">
        <v>48.9</v>
      </c>
      <c r="J52" s="54">
        <v>131.5</v>
      </c>
      <c r="K52" s="54">
        <v>4.5</v>
      </c>
      <c r="L52" s="55">
        <v>-68.2</v>
      </c>
      <c r="M52" s="55">
        <v>321.3</v>
      </c>
      <c r="N52" s="52">
        <v>99.8</v>
      </c>
      <c r="O52" s="52">
        <v>5.2</v>
      </c>
      <c r="P52" s="54" t="s">
        <v>1203</v>
      </c>
      <c r="Q52" s="54" t="s">
        <v>1203</v>
      </c>
      <c r="R52" s="52">
        <v>201</v>
      </c>
      <c r="S52" s="55">
        <v>-45.061767870571401</v>
      </c>
      <c r="T52" s="55">
        <v>48.846589474440002</v>
      </c>
      <c r="U52" s="54">
        <v>50</v>
      </c>
      <c r="V52" s="54">
        <v>-32.5</v>
      </c>
      <c r="W52" s="54">
        <v>55.08</v>
      </c>
      <c r="X52" s="52" t="s">
        <v>1204</v>
      </c>
      <c r="Y52" s="56"/>
      <c r="Z52" s="56"/>
      <c r="AA52" s="52" t="b">
        <v>1</v>
      </c>
      <c r="AB52" s="52" t="s">
        <v>165</v>
      </c>
      <c r="AC52" s="49" t="s">
        <v>1121</v>
      </c>
      <c r="AD52" s="52"/>
      <c r="AE52" s="52" t="s">
        <v>147</v>
      </c>
      <c r="AF52" s="56" t="s">
        <v>1122</v>
      </c>
      <c r="AG52" s="49"/>
      <c r="AH52" s="56"/>
      <c r="AI52" s="17"/>
      <c r="AJ52" s="32"/>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row>
    <row r="53" spans="1:172" s="69" customFormat="1" ht="14" customHeight="1" x14ac:dyDescent="0.15">
      <c r="A53" s="56" t="s">
        <v>1144</v>
      </c>
      <c r="B53" s="54">
        <v>274.39999999999998</v>
      </c>
      <c r="C53" s="54">
        <v>323.39999999999998</v>
      </c>
      <c r="D53" s="55">
        <f>(B53+C53)/2</f>
        <v>298.89999999999998</v>
      </c>
      <c r="E53" s="54">
        <v>-17</v>
      </c>
      <c r="F53" s="54">
        <v>314.39999999999998</v>
      </c>
      <c r="G53" s="58">
        <v>193</v>
      </c>
      <c r="H53" s="54">
        <v>171</v>
      </c>
      <c r="I53" s="54">
        <v>62.3</v>
      </c>
      <c r="J53" s="54">
        <v>25.7</v>
      </c>
      <c r="K53" s="54">
        <v>2</v>
      </c>
      <c r="L53" s="55">
        <v>-62.5</v>
      </c>
      <c r="M53" s="58">
        <v>328.2</v>
      </c>
      <c r="N53" s="54">
        <v>16.899999999999999</v>
      </c>
      <c r="O53" s="54">
        <v>2.5</v>
      </c>
      <c r="P53" s="61" t="s">
        <v>1203</v>
      </c>
      <c r="Q53" s="61" t="s">
        <v>1203</v>
      </c>
      <c r="R53" s="52">
        <v>201</v>
      </c>
      <c r="S53" s="55">
        <v>-39.0597244019283</v>
      </c>
      <c r="T53" s="55">
        <v>45.942122852699399</v>
      </c>
      <c r="U53" s="54">
        <v>50</v>
      </c>
      <c r="V53" s="54">
        <v>-32.5</v>
      </c>
      <c r="W53" s="54">
        <v>55.08</v>
      </c>
      <c r="X53" s="52" t="s">
        <v>1204</v>
      </c>
      <c r="Y53" s="52">
        <v>0.8</v>
      </c>
      <c r="Z53" s="52">
        <v>4.41</v>
      </c>
      <c r="AA53" s="52" t="s">
        <v>148</v>
      </c>
      <c r="AB53" s="52" t="s">
        <v>31</v>
      </c>
      <c r="AC53" s="49" t="s">
        <v>1145</v>
      </c>
      <c r="AD53" s="52"/>
      <c r="AE53" s="52" t="s">
        <v>147</v>
      </c>
      <c r="AF53" s="56" t="s">
        <v>1143</v>
      </c>
      <c r="AG53" s="49" t="s">
        <v>767</v>
      </c>
      <c r="AH53" s="49" t="s">
        <v>1361</v>
      </c>
      <c r="AI53" s="12"/>
      <c r="AJ53" s="3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row>
    <row r="54" spans="1:172" s="69" customFormat="1" ht="14" customHeight="1" x14ac:dyDescent="0.2">
      <c r="A54" s="10" t="s">
        <v>1160</v>
      </c>
      <c r="B54" s="9">
        <v>298.89999999999998</v>
      </c>
      <c r="C54" s="9">
        <v>307</v>
      </c>
      <c r="D54" s="13">
        <v>303</v>
      </c>
      <c r="E54" s="9">
        <v>-26.14</v>
      </c>
      <c r="F54" s="9">
        <v>310.24</v>
      </c>
      <c r="G54" s="34">
        <v>111</v>
      </c>
      <c r="H54" s="9">
        <v>144.19999999999999</v>
      </c>
      <c r="I54" s="9">
        <v>69.5</v>
      </c>
      <c r="J54" s="9">
        <v>134.4</v>
      </c>
      <c r="K54" s="9">
        <v>1.2</v>
      </c>
      <c r="L54" s="13">
        <v>-51.9</v>
      </c>
      <c r="M54" s="13">
        <v>344.3</v>
      </c>
      <c r="N54" s="9">
        <v>55.9</v>
      </c>
      <c r="O54" s="9">
        <v>1.8</v>
      </c>
      <c r="P54" s="38" t="s">
        <v>1203</v>
      </c>
      <c r="Q54" s="38" t="s">
        <v>1203</v>
      </c>
      <c r="R54" s="7">
        <v>201</v>
      </c>
      <c r="S54" s="13">
        <v>-25.439269271978802</v>
      </c>
      <c r="T54" s="13">
        <v>46.985521012474699</v>
      </c>
      <c r="U54" s="9">
        <v>50</v>
      </c>
      <c r="V54" s="9">
        <v>-32.5</v>
      </c>
      <c r="W54" s="9">
        <v>55.08</v>
      </c>
      <c r="X54" s="7" t="s">
        <v>1204</v>
      </c>
      <c r="Y54" s="7">
        <v>0.97</v>
      </c>
      <c r="Z54" s="9">
        <v>0</v>
      </c>
      <c r="AA54" s="7" t="s">
        <v>152</v>
      </c>
      <c r="AB54" s="7">
        <v>0</v>
      </c>
      <c r="AC54" s="10" t="s">
        <v>1161</v>
      </c>
      <c r="AD54" s="7"/>
      <c r="AE54" s="7" t="s">
        <v>1369</v>
      </c>
      <c r="AF54" s="10" t="s">
        <v>1163</v>
      </c>
      <c r="AG54" s="14" t="s">
        <v>1162</v>
      </c>
      <c r="AH54" s="10" t="s">
        <v>1087</v>
      </c>
      <c r="AI54" s="12"/>
      <c r="AJ54" s="3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row>
    <row r="55" spans="1:172" s="12" customFormat="1" ht="14" customHeight="1" x14ac:dyDescent="0.15">
      <c r="A55" s="56" t="s">
        <v>1178</v>
      </c>
      <c r="B55" s="52">
        <v>298.89999999999998</v>
      </c>
      <c r="C55" s="52">
        <v>323.39999999999998</v>
      </c>
      <c r="D55" s="55">
        <f>(B55+C55)/2</f>
        <v>311.14999999999998</v>
      </c>
      <c r="E55" s="54">
        <v>-21.5</v>
      </c>
      <c r="F55" s="54">
        <v>312.8</v>
      </c>
      <c r="G55" s="58">
        <v>12</v>
      </c>
      <c r="H55" s="54">
        <v>149</v>
      </c>
      <c r="I55" s="54">
        <v>61</v>
      </c>
      <c r="J55" s="54">
        <v>16</v>
      </c>
      <c r="K55" s="54">
        <v>11.2</v>
      </c>
      <c r="L55" s="55">
        <v>-57</v>
      </c>
      <c r="M55" s="55">
        <v>357</v>
      </c>
      <c r="N55" s="54">
        <v>9.3000000000000007</v>
      </c>
      <c r="O55" s="54">
        <v>15</v>
      </c>
      <c r="P55" s="61" t="s">
        <v>1203</v>
      </c>
      <c r="Q55" s="61" t="s">
        <v>1203</v>
      </c>
      <c r="R55" s="52">
        <v>201</v>
      </c>
      <c r="S55" s="55">
        <v>-26.702470745037299</v>
      </c>
      <c r="T55" s="55">
        <v>56.854494509979297</v>
      </c>
      <c r="U55" s="54">
        <v>50</v>
      </c>
      <c r="V55" s="54">
        <v>-32.5</v>
      </c>
      <c r="W55" s="54">
        <v>55.08</v>
      </c>
      <c r="X55" s="52" t="s">
        <v>1204</v>
      </c>
      <c r="Y55" s="56"/>
      <c r="Z55" s="56"/>
      <c r="AA55" s="52" t="b">
        <v>1</v>
      </c>
      <c r="AB55" s="52" t="s">
        <v>165</v>
      </c>
      <c r="AC55" s="49" t="s">
        <v>1179</v>
      </c>
      <c r="AD55" s="52">
        <v>798</v>
      </c>
      <c r="AE55" s="52" t="s">
        <v>147</v>
      </c>
      <c r="AF55" s="56" t="s">
        <v>1177</v>
      </c>
      <c r="AG55" s="49" t="s">
        <v>1321</v>
      </c>
      <c r="AH55" s="49" t="s">
        <v>1361</v>
      </c>
      <c r="AJ55" s="32"/>
    </row>
    <row r="56" spans="1:172" s="12" customFormat="1" ht="14" customHeight="1" x14ac:dyDescent="0.2">
      <c r="A56" s="56" t="s">
        <v>354</v>
      </c>
      <c r="B56" s="54">
        <v>64</v>
      </c>
      <c r="C56" s="54">
        <v>67</v>
      </c>
      <c r="D56" s="55">
        <v>65.5</v>
      </c>
      <c r="E56" s="54">
        <v>-31.8</v>
      </c>
      <c r="F56" s="54">
        <v>295.5</v>
      </c>
      <c r="G56" s="53">
        <v>3</v>
      </c>
      <c r="H56" s="54">
        <v>165</v>
      </c>
      <c r="I56" s="54">
        <v>53</v>
      </c>
      <c r="J56" s="54">
        <v>423.2</v>
      </c>
      <c r="K56" s="54">
        <v>6</v>
      </c>
      <c r="L56" s="55">
        <v>-77</v>
      </c>
      <c r="M56" s="55">
        <v>18</v>
      </c>
      <c r="N56" s="54">
        <v>609</v>
      </c>
      <c r="O56" s="54">
        <v>5</v>
      </c>
      <c r="P56" s="54" t="s">
        <v>1203</v>
      </c>
      <c r="Q56" s="54" t="s">
        <v>1203</v>
      </c>
      <c r="R56" s="59">
        <v>202</v>
      </c>
      <c r="S56" s="55">
        <v>-66.875238227997002</v>
      </c>
      <c r="T56" s="55">
        <v>52.202878630839699</v>
      </c>
      <c r="U56" s="54">
        <v>63.662362384065297</v>
      </c>
      <c r="V56" s="54">
        <v>-33.479477056815199</v>
      </c>
      <c r="W56" s="54">
        <v>24.517664835329601</v>
      </c>
      <c r="X56" s="54" t="s">
        <v>1202</v>
      </c>
      <c r="Y56" s="62"/>
      <c r="Z56" s="62"/>
      <c r="AA56" s="56" t="b">
        <v>0</v>
      </c>
      <c r="AB56" s="52" t="s">
        <v>31</v>
      </c>
      <c r="AC56" s="49" t="s">
        <v>355</v>
      </c>
      <c r="AD56" s="52">
        <v>102</v>
      </c>
      <c r="AE56" s="52" t="s">
        <v>147</v>
      </c>
      <c r="AF56" s="56" t="s">
        <v>345</v>
      </c>
      <c r="AG56" s="49"/>
      <c r="AH56" s="56"/>
      <c r="AJ56" s="32"/>
    </row>
    <row r="57" spans="1:172" s="12" customFormat="1" ht="14" customHeight="1" x14ac:dyDescent="0.2">
      <c r="A57" s="10" t="s">
        <v>519</v>
      </c>
      <c r="B57" s="9">
        <v>115</v>
      </c>
      <c r="C57" s="9">
        <v>127</v>
      </c>
      <c r="D57" s="13">
        <v>121</v>
      </c>
      <c r="E57" s="9">
        <v>-32</v>
      </c>
      <c r="F57" s="9">
        <v>-64</v>
      </c>
      <c r="G57" s="34">
        <v>6</v>
      </c>
      <c r="H57" s="9">
        <v>169.5</v>
      </c>
      <c r="I57" s="9">
        <v>52</v>
      </c>
      <c r="J57" s="7">
        <v>27.5</v>
      </c>
      <c r="K57" s="9">
        <v>10.4</v>
      </c>
      <c r="L57" s="13">
        <v>-81</v>
      </c>
      <c r="M57" s="13">
        <v>14</v>
      </c>
      <c r="N57" s="7">
        <v>27.5</v>
      </c>
      <c r="O57" s="9">
        <v>13</v>
      </c>
      <c r="P57" s="9" t="s">
        <v>1203</v>
      </c>
      <c r="Q57" s="9" t="s">
        <v>1203</v>
      </c>
      <c r="R57" s="7">
        <v>202</v>
      </c>
      <c r="S57" s="13">
        <v>-49.649724400958299</v>
      </c>
      <c r="T57" s="13">
        <v>71.327339874325403</v>
      </c>
      <c r="U57" s="9">
        <v>51.693263200935498</v>
      </c>
      <c r="V57" s="9">
        <v>-35.105684487639998</v>
      </c>
      <c r="W57" s="9">
        <v>52.420549504395098</v>
      </c>
      <c r="X57" s="7" t="s">
        <v>1202</v>
      </c>
      <c r="Y57" s="10"/>
      <c r="Z57" s="10"/>
      <c r="AA57" s="7" t="b">
        <v>1</v>
      </c>
      <c r="AB57" s="7">
        <v>0</v>
      </c>
      <c r="AC57" s="14" t="s">
        <v>520</v>
      </c>
      <c r="AD57" s="7">
        <v>123</v>
      </c>
      <c r="AE57" s="7" t="s">
        <v>147</v>
      </c>
      <c r="AF57" s="10" t="s">
        <v>521</v>
      </c>
      <c r="AG57" s="14"/>
      <c r="AH57" s="10"/>
      <c r="AJ57" s="32"/>
    </row>
    <row r="58" spans="1:172" s="12" customFormat="1" ht="14" customHeight="1" x14ac:dyDescent="0.2">
      <c r="A58" s="10" t="s">
        <v>529</v>
      </c>
      <c r="B58" s="9">
        <v>119</v>
      </c>
      <c r="C58" s="9">
        <v>129</v>
      </c>
      <c r="D58" s="13">
        <v>124</v>
      </c>
      <c r="E58" s="7">
        <v>-32.200000000000003</v>
      </c>
      <c r="F58" s="7">
        <v>-64.2</v>
      </c>
      <c r="G58" s="6">
        <v>15</v>
      </c>
      <c r="H58" s="7">
        <v>159.19999999999999</v>
      </c>
      <c r="I58" s="7">
        <v>49.4</v>
      </c>
      <c r="J58" s="7">
        <v>42.5</v>
      </c>
      <c r="K58" s="7">
        <v>5.9</v>
      </c>
      <c r="L58" s="13">
        <v>-72</v>
      </c>
      <c r="M58" s="13">
        <v>25</v>
      </c>
      <c r="N58" s="9"/>
      <c r="O58" s="9"/>
      <c r="P58" s="9">
        <v>39.449498602188143</v>
      </c>
      <c r="Q58" s="9">
        <v>6.164221710645311</v>
      </c>
      <c r="R58" s="7">
        <v>202</v>
      </c>
      <c r="S58" s="13">
        <v>-39.296927564167198</v>
      </c>
      <c r="T58" s="13">
        <v>73.284912660339103</v>
      </c>
      <c r="U58" s="9">
        <v>50.989258029001</v>
      </c>
      <c r="V58" s="9">
        <v>-34.376418527356201</v>
      </c>
      <c r="W58" s="9">
        <v>53.411335100853996</v>
      </c>
      <c r="X58" s="7" t="s">
        <v>1202</v>
      </c>
      <c r="Y58" s="10"/>
      <c r="Z58" s="10"/>
      <c r="AA58" s="7" t="b">
        <v>1</v>
      </c>
      <c r="AB58" s="7">
        <v>0</v>
      </c>
      <c r="AC58" s="14" t="s">
        <v>530</v>
      </c>
      <c r="AD58" s="7">
        <v>1087</v>
      </c>
      <c r="AE58" s="7" t="s">
        <v>147</v>
      </c>
      <c r="AF58" s="10" t="s">
        <v>531</v>
      </c>
      <c r="AG58" s="14"/>
      <c r="AH58" s="10"/>
      <c r="AJ58" s="32"/>
    </row>
    <row r="59" spans="1:172" s="12" customFormat="1" ht="14" customHeight="1" x14ac:dyDescent="0.2">
      <c r="A59" s="56" t="s">
        <v>542</v>
      </c>
      <c r="B59" s="54">
        <v>132</v>
      </c>
      <c r="C59" s="54">
        <v>136</v>
      </c>
      <c r="D59" s="55">
        <v>132</v>
      </c>
      <c r="E59" s="54">
        <v>-26</v>
      </c>
      <c r="F59" s="54">
        <v>308</v>
      </c>
      <c r="G59" s="58">
        <v>173</v>
      </c>
      <c r="H59" s="52"/>
      <c r="I59" s="52"/>
      <c r="J59" s="52"/>
      <c r="K59" s="52"/>
      <c r="L59" s="58">
        <v>-84.4</v>
      </c>
      <c r="M59" s="55">
        <v>111.6</v>
      </c>
      <c r="N59" s="52">
        <v>95.8</v>
      </c>
      <c r="O59" s="54">
        <v>1.1000000000000001</v>
      </c>
      <c r="P59" s="54" t="s">
        <v>1203</v>
      </c>
      <c r="Q59" s="54" t="s">
        <v>1203</v>
      </c>
      <c r="R59" s="52">
        <v>202</v>
      </c>
      <c r="S59" s="55">
        <v>-52.113222819073499</v>
      </c>
      <c r="T59" s="55">
        <v>86.927203296284503</v>
      </c>
      <c r="U59" s="54">
        <v>48.172147561226403</v>
      </c>
      <c r="V59" s="54">
        <v>-33.4032020013939</v>
      </c>
      <c r="W59" s="54">
        <v>55.588583680667703</v>
      </c>
      <c r="X59" s="52" t="s">
        <v>1202</v>
      </c>
      <c r="Y59" s="52"/>
      <c r="Z59" s="52"/>
      <c r="AA59" s="52" t="b">
        <v>0</v>
      </c>
      <c r="AB59" s="52">
        <v>0</v>
      </c>
      <c r="AC59" s="49" t="s">
        <v>543</v>
      </c>
      <c r="AD59" s="52"/>
      <c r="AE59" s="52" t="s">
        <v>1369</v>
      </c>
      <c r="AF59" s="56" t="s">
        <v>1220</v>
      </c>
      <c r="AG59" s="49" t="s">
        <v>1228</v>
      </c>
      <c r="AH59" s="56"/>
      <c r="AJ59" s="32"/>
    </row>
    <row r="60" spans="1:172" s="12" customFormat="1" ht="14" customHeight="1" x14ac:dyDescent="0.2">
      <c r="A60" s="10" t="s">
        <v>544</v>
      </c>
      <c r="B60" s="9">
        <v>131</v>
      </c>
      <c r="C60" s="9">
        <v>135</v>
      </c>
      <c r="D60" s="13">
        <v>133</v>
      </c>
      <c r="E60" s="9">
        <v>-29</v>
      </c>
      <c r="F60" s="9">
        <v>310</v>
      </c>
      <c r="G60" s="34">
        <v>37</v>
      </c>
      <c r="H60" s="9">
        <v>358.7</v>
      </c>
      <c r="I60" s="9">
        <v>-40</v>
      </c>
      <c r="J60" s="9">
        <v>40.4</v>
      </c>
      <c r="K60" s="9">
        <v>3.7</v>
      </c>
      <c r="L60" s="13">
        <v>-84.6</v>
      </c>
      <c r="M60" s="6">
        <v>115.4</v>
      </c>
      <c r="N60" s="7">
        <v>40.4</v>
      </c>
      <c r="O60" s="7">
        <v>3.7</v>
      </c>
      <c r="P60" s="9" t="s">
        <v>1203</v>
      </c>
      <c r="Q60" s="9" t="s">
        <v>1203</v>
      </c>
      <c r="R60" s="7">
        <v>202</v>
      </c>
      <c r="S60" s="13">
        <v>-52.0415824079899</v>
      </c>
      <c r="T60" s="13">
        <v>86.7531437528487</v>
      </c>
      <c r="U60" s="9">
        <v>47.741619684916003</v>
      </c>
      <c r="V60" s="9">
        <v>-33.336789713373797</v>
      </c>
      <c r="W60" s="9">
        <v>55.850710141507101</v>
      </c>
      <c r="X60" s="7" t="s">
        <v>1202</v>
      </c>
      <c r="Y60" s="10"/>
      <c r="Z60" s="10"/>
      <c r="AA60" s="7" t="b">
        <v>1</v>
      </c>
      <c r="AB60" s="7">
        <v>0</v>
      </c>
      <c r="AC60" s="14" t="s">
        <v>545</v>
      </c>
      <c r="AD60" s="7">
        <v>765</v>
      </c>
      <c r="AE60" s="7" t="s">
        <v>147</v>
      </c>
      <c r="AF60" s="10" t="s">
        <v>546</v>
      </c>
      <c r="AG60" s="14"/>
      <c r="AH60" s="10"/>
      <c r="AJ60" s="32"/>
    </row>
    <row r="61" spans="1:172" s="12" customFormat="1" ht="14" customHeight="1" x14ac:dyDescent="0.2">
      <c r="A61" s="14" t="s">
        <v>563</v>
      </c>
      <c r="B61" s="9">
        <v>132</v>
      </c>
      <c r="C61" s="9">
        <v>136</v>
      </c>
      <c r="D61" s="13">
        <v>134</v>
      </c>
      <c r="E61" s="9">
        <v>-31</v>
      </c>
      <c r="F61" s="9">
        <v>303</v>
      </c>
      <c r="G61" s="34">
        <v>29</v>
      </c>
      <c r="H61" s="9">
        <v>177.6</v>
      </c>
      <c r="I61" s="9">
        <v>44.2</v>
      </c>
      <c r="J61" s="9">
        <v>46</v>
      </c>
      <c r="K61" s="9">
        <v>4</v>
      </c>
      <c r="L61" s="13">
        <v>-84.8</v>
      </c>
      <c r="M61" s="13">
        <v>95.8</v>
      </c>
      <c r="N61" s="9">
        <v>42</v>
      </c>
      <c r="O61" s="7">
        <v>4.2</v>
      </c>
      <c r="P61" s="9" t="s">
        <v>1203</v>
      </c>
      <c r="Q61" s="9" t="s">
        <v>1203</v>
      </c>
      <c r="R61" s="7">
        <v>202</v>
      </c>
      <c r="S61" s="13">
        <v>-50.231878369106802</v>
      </c>
      <c r="T61" s="13">
        <v>85.1922617902638</v>
      </c>
      <c r="U61" s="9">
        <v>47.5</v>
      </c>
      <c r="V61" s="9">
        <v>-33.299999999999997</v>
      </c>
      <c r="W61" s="9">
        <v>56.005293580772701</v>
      </c>
      <c r="X61" s="7" t="s">
        <v>1202</v>
      </c>
      <c r="Y61" s="7"/>
      <c r="Z61" s="7"/>
      <c r="AA61" s="7" t="b">
        <v>1</v>
      </c>
      <c r="AB61" s="7">
        <v>0</v>
      </c>
      <c r="AC61" s="14" t="s">
        <v>564</v>
      </c>
      <c r="AD61" s="7"/>
      <c r="AE61" s="7" t="s">
        <v>1369</v>
      </c>
      <c r="AF61" s="10" t="s">
        <v>1220</v>
      </c>
      <c r="AG61" s="14"/>
      <c r="AH61" s="10"/>
      <c r="AJ61" s="32"/>
    </row>
    <row r="62" spans="1:172" s="12" customFormat="1" ht="14" customHeight="1" x14ac:dyDescent="0.2">
      <c r="A62" s="56" t="s">
        <v>569</v>
      </c>
      <c r="B62" s="54">
        <v>129</v>
      </c>
      <c r="C62" s="54">
        <v>150</v>
      </c>
      <c r="D62" s="55">
        <v>139.5</v>
      </c>
      <c r="E62" s="54">
        <v>-31.8</v>
      </c>
      <c r="F62" s="54">
        <v>295.5</v>
      </c>
      <c r="G62" s="53">
        <v>5</v>
      </c>
      <c r="H62" s="54">
        <v>166</v>
      </c>
      <c r="I62" s="54">
        <v>51</v>
      </c>
      <c r="J62" s="54">
        <v>49.3</v>
      </c>
      <c r="K62" s="54">
        <v>11</v>
      </c>
      <c r="L62" s="55">
        <v>-79</v>
      </c>
      <c r="M62" s="55">
        <v>8</v>
      </c>
      <c r="N62" s="54">
        <v>19</v>
      </c>
      <c r="O62" s="54">
        <v>18</v>
      </c>
      <c r="P62" s="54" t="s">
        <v>1203</v>
      </c>
      <c r="Q62" s="54" t="s">
        <v>1203</v>
      </c>
      <c r="R62" s="52">
        <v>202</v>
      </c>
      <c r="S62" s="55">
        <v>-42.962374959910498</v>
      </c>
      <c r="T62" s="55">
        <v>71.275656296041305</v>
      </c>
      <c r="U62" s="54">
        <v>47.499999999999901</v>
      </c>
      <c r="V62" s="54">
        <v>-33.299999999999898</v>
      </c>
      <c r="W62" s="54">
        <v>56.0722239123821</v>
      </c>
      <c r="X62" s="52" t="s">
        <v>1202</v>
      </c>
      <c r="Y62" s="56"/>
      <c r="Z62" s="56"/>
      <c r="AA62" s="52" t="b">
        <v>1</v>
      </c>
      <c r="AB62" s="52" t="s">
        <v>31</v>
      </c>
      <c r="AC62" s="49" t="s">
        <v>355</v>
      </c>
      <c r="AD62" s="52">
        <v>102</v>
      </c>
      <c r="AE62" s="52" t="s">
        <v>147</v>
      </c>
      <c r="AF62" s="56" t="s">
        <v>570</v>
      </c>
      <c r="AG62" s="49"/>
      <c r="AH62" s="56" t="s">
        <v>1361</v>
      </c>
      <c r="AJ62" s="32"/>
    </row>
    <row r="63" spans="1:172" s="12" customFormat="1" ht="14" customHeight="1" x14ac:dyDescent="0.2">
      <c r="A63" s="14" t="s">
        <v>598</v>
      </c>
      <c r="B63" s="9">
        <v>154.6</v>
      </c>
      <c r="C63" s="9">
        <v>160.6</v>
      </c>
      <c r="D63" s="13">
        <v>157.6</v>
      </c>
      <c r="E63" s="9">
        <v>-33.31</v>
      </c>
      <c r="F63" s="9">
        <v>-55.56</v>
      </c>
      <c r="G63" s="34">
        <v>8</v>
      </c>
      <c r="H63" s="9">
        <v>183.4</v>
      </c>
      <c r="I63" s="9">
        <v>51.7</v>
      </c>
      <c r="J63" s="9"/>
      <c r="K63" s="9"/>
      <c r="L63" s="13">
        <v>-87</v>
      </c>
      <c r="M63" s="13">
        <v>197.3</v>
      </c>
      <c r="N63" s="9">
        <v>30</v>
      </c>
      <c r="O63" s="9">
        <v>10.199999999999999</v>
      </c>
      <c r="P63" s="9" t="s">
        <v>1203</v>
      </c>
      <c r="Q63" s="9" t="s">
        <v>1203</v>
      </c>
      <c r="R63" s="7">
        <v>202</v>
      </c>
      <c r="S63" s="13">
        <v>-55.734400845198202</v>
      </c>
      <c r="T63" s="13">
        <v>79.826268458616994</v>
      </c>
      <c r="U63" s="9">
        <v>47.5</v>
      </c>
      <c r="V63" s="9">
        <v>-33.299999999999997</v>
      </c>
      <c r="W63" s="9">
        <v>56.2</v>
      </c>
      <c r="X63" s="7" t="s">
        <v>1202</v>
      </c>
      <c r="Y63" s="10"/>
      <c r="Z63" s="9"/>
      <c r="AA63" s="7" t="b">
        <v>1</v>
      </c>
      <c r="AB63" s="7">
        <v>0</v>
      </c>
      <c r="AC63" s="14" t="s">
        <v>599</v>
      </c>
      <c r="AD63" s="7"/>
      <c r="AE63" s="7" t="s">
        <v>1369</v>
      </c>
      <c r="AF63" s="10" t="s">
        <v>600</v>
      </c>
      <c r="AG63" s="14"/>
      <c r="AH63" s="10"/>
      <c r="AJ63" s="32"/>
    </row>
    <row r="64" spans="1:172" s="17" customFormat="1" ht="14" customHeight="1" x14ac:dyDescent="0.2">
      <c r="A64" s="14" t="s">
        <v>594</v>
      </c>
      <c r="B64" s="9">
        <v>154.6</v>
      </c>
      <c r="C64" s="9">
        <v>160.6</v>
      </c>
      <c r="D64" s="13">
        <v>157.6</v>
      </c>
      <c r="E64" s="9">
        <v>-33.51</v>
      </c>
      <c r="F64" s="9">
        <v>-54.96</v>
      </c>
      <c r="G64" s="34">
        <v>19</v>
      </c>
      <c r="H64" s="9">
        <v>3.5</v>
      </c>
      <c r="I64" s="9">
        <v>-50.6</v>
      </c>
      <c r="J64" s="9">
        <v>29.4</v>
      </c>
      <c r="K64" s="9">
        <v>6.3</v>
      </c>
      <c r="L64" s="13">
        <v>-86.4</v>
      </c>
      <c r="M64" s="13">
        <v>178.9</v>
      </c>
      <c r="N64" s="9">
        <v>22.7</v>
      </c>
      <c r="O64" s="9">
        <v>7.2</v>
      </c>
      <c r="P64" s="9" t="s">
        <v>1203</v>
      </c>
      <c r="Q64" s="9" t="s">
        <v>1203</v>
      </c>
      <c r="R64" s="7">
        <v>202</v>
      </c>
      <c r="S64" s="13">
        <v>-58.237844319235101</v>
      </c>
      <c r="T64" s="13">
        <v>83.374545451955001</v>
      </c>
      <c r="U64" s="9">
        <v>50</v>
      </c>
      <c r="V64" s="9">
        <v>-32.5</v>
      </c>
      <c r="W64" s="9">
        <v>55.08</v>
      </c>
      <c r="X64" s="7" t="s">
        <v>1202</v>
      </c>
      <c r="Y64" s="10"/>
      <c r="Z64" s="10"/>
      <c r="AA64" s="7" t="b">
        <v>1</v>
      </c>
      <c r="AB64" s="7">
        <v>0</v>
      </c>
      <c r="AC64" s="14" t="s">
        <v>595</v>
      </c>
      <c r="AD64" s="7"/>
      <c r="AE64" s="7" t="s">
        <v>1369</v>
      </c>
      <c r="AF64" s="10" t="s">
        <v>597</v>
      </c>
      <c r="AG64" s="14" t="s">
        <v>596</v>
      </c>
      <c r="AH64" s="10"/>
      <c r="AJ64" s="32"/>
    </row>
    <row r="65" spans="1:36" s="12" customFormat="1" ht="14" customHeight="1" x14ac:dyDescent="0.2">
      <c r="A65" s="10" t="s">
        <v>33</v>
      </c>
      <c r="B65" s="28">
        <v>0</v>
      </c>
      <c r="C65" s="28">
        <v>5.0000000000000001E-3</v>
      </c>
      <c r="D65" s="29">
        <f>AVERAGE(B65,C65)</f>
        <v>2.5000000000000001E-3</v>
      </c>
      <c r="E65" s="7">
        <v>-38.909999999999997</v>
      </c>
      <c r="F65" s="7">
        <v>288.26</v>
      </c>
      <c r="G65" s="34">
        <v>18</v>
      </c>
      <c r="H65" s="10"/>
      <c r="I65" s="10"/>
      <c r="J65" s="10"/>
      <c r="K65" s="10"/>
      <c r="L65" s="13">
        <v>-85.569218116584096</v>
      </c>
      <c r="M65" s="13">
        <v>162.84142741312797</v>
      </c>
      <c r="N65" s="9">
        <v>50.284982478793502</v>
      </c>
      <c r="O65" s="9">
        <v>4.9226414579968303</v>
      </c>
      <c r="P65" s="9"/>
      <c r="Q65" s="9"/>
      <c r="R65" s="7">
        <v>290</v>
      </c>
      <c r="S65" s="13">
        <v>-85.569348163316207</v>
      </c>
      <c r="T65" s="13">
        <v>162.83780514937001</v>
      </c>
      <c r="U65" s="9">
        <v>60.350000000000797</v>
      </c>
      <c r="V65" s="9">
        <v>-38.740000000000897</v>
      </c>
      <c r="W65" s="9">
        <v>7.1474773609306796E-4</v>
      </c>
      <c r="X65" s="7" t="s">
        <v>1202</v>
      </c>
      <c r="Y65" s="10"/>
      <c r="Z65" s="7"/>
      <c r="AA65" s="10" t="b">
        <v>1</v>
      </c>
      <c r="AB65" s="7">
        <v>0</v>
      </c>
      <c r="AC65" s="10" t="s">
        <v>34</v>
      </c>
      <c r="AD65" s="7"/>
      <c r="AE65" s="7" t="s">
        <v>32</v>
      </c>
      <c r="AF65" s="10"/>
      <c r="AG65" s="14"/>
      <c r="AH65" s="10"/>
      <c r="AJ65" s="32"/>
    </row>
    <row r="66" spans="1:36" s="17" customFormat="1" ht="14" customHeight="1" x14ac:dyDescent="0.2">
      <c r="A66" s="10" t="s">
        <v>65</v>
      </c>
      <c r="B66" s="28">
        <v>0.27500000000000002</v>
      </c>
      <c r="C66" s="28">
        <v>0.27500000000000002</v>
      </c>
      <c r="D66" s="29">
        <f>AVERAGE(B66,C66)</f>
        <v>0.27500000000000002</v>
      </c>
      <c r="E66" s="7">
        <v>-35.270000000000003</v>
      </c>
      <c r="F66" s="7">
        <v>289.48</v>
      </c>
      <c r="G66" s="34">
        <v>8</v>
      </c>
      <c r="H66" s="9"/>
      <c r="I66" s="9"/>
      <c r="J66" s="9"/>
      <c r="K66" s="9"/>
      <c r="L66" s="13">
        <v>-84.717444946291806</v>
      </c>
      <c r="M66" s="13">
        <v>121.92591821280598</v>
      </c>
      <c r="N66" s="9">
        <v>68.851600193867995</v>
      </c>
      <c r="O66" s="9">
        <v>6.7225417494160702</v>
      </c>
      <c r="P66" s="9"/>
      <c r="Q66" s="9"/>
      <c r="R66" s="7">
        <v>290</v>
      </c>
      <c r="S66" s="13">
        <v>-84.704462946768203</v>
      </c>
      <c r="T66" s="13">
        <v>121.59819601606701</v>
      </c>
      <c r="U66" s="9">
        <v>60.35</v>
      </c>
      <c r="V66" s="9">
        <v>-38.739999999999903</v>
      </c>
      <c r="W66" s="9">
        <v>7.8622250970245694E-2</v>
      </c>
      <c r="X66" s="7" t="s">
        <v>1202</v>
      </c>
      <c r="Y66" s="7"/>
      <c r="Z66" s="7"/>
      <c r="AA66" s="7" t="b">
        <v>1</v>
      </c>
      <c r="AB66" s="7">
        <v>0</v>
      </c>
      <c r="AC66" s="10" t="s">
        <v>66</v>
      </c>
      <c r="AD66" s="7"/>
      <c r="AE66" s="7" t="s">
        <v>32</v>
      </c>
      <c r="AF66" s="10"/>
      <c r="AG66" s="14"/>
      <c r="AH66" s="10"/>
      <c r="AJ66" s="32"/>
    </row>
    <row r="67" spans="1:36" s="17" customFormat="1" ht="14" customHeight="1" x14ac:dyDescent="0.2">
      <c r="A67" s="10" t="s">
        <v>87</v>
      </c>
      <c r="B67" s="28">
        <v>7.0000000000000001E-3</v>
      </c>
      <c r="C67" s="28">
        <v>1.72</v>
      </c>
      <c r="D67" s="29">
        <f>AVERAGE(B67,C67)</f>
        <v>0.86349999999999993</v>
      </c>
      <c r="E67" s="7">
        <v>-36.090000000000003</v>
      </c>
      <c r="F67" s="7">
        <v>290.88</v>
      </c>
      <c r="G67" s="34">
        <v>30</v>
      </c>
      <c r="H67" s="10"/>
      <c r="I67" s="10"/>
      <c r="J67" s="10"/>
      <c r="K67" s="10"/>
      <c r="L67" s="13">
        <v>-87.999117215709603</v>
      </c>
      <c r="M67" s="13">
        <v>17.324709708983988</v>
      </c>
      <c r="N67" s="9">
        <v>29.7498003014062</v>
      </c>
      <c r="O67" s="9">
        <v>4.9000909854815697</v>
      </c>
      <c r="P67" s="9"/>
      <c r="Q67" s="9"/>
      <c r="R67" s="7">
        <v>290</v>
      </c>
      <c r="S67" s="13">
        <v>-87.896674275108097</v>
      </c>
      <c r="T67" s="13">
        <v>19.385575937412</v>
      </c>
      <c r="U67" s="9">
        <v>60.396420707990998</v>
      </c>
      <c r="V67" s="9">
        <v>-38.789776420121903</v>
      </c>
      <c r="W67" s="9">
        <v>0.24683088172234399</v>
      </c>
      <c r="X67" s="7" t="s">
        <v>1202</v>
      </c>
      <c r="Y67" s="10"/>
      <c r="Z67" s="7"/>
      <c r="AA67" s="10" t="b">
        <v>1</v>
      </c>
      <c r="AB67" s="7">
        <v>0</v>
      </c>
      <c r="AC67" s="10" t="s">
        <v>88</v>
      </c>
      <c r="AD67" s="7"/>
      <c r="AE67" s="7" t="s">
        <v>32</v>
      </c>
      <c r="AF67" s="10"/>
      <c r="AG67" s="14"/>
      <c r="AH67" s="10"/>
      <c r="AJ67" s="32"/>
    </row>
    <row r="68" spans="1:36" s="17" customFormat="1" ht="14" customHeight="1" x14ac:dyDescent="0.2">
      <c r="A68" s="56" t="s">
        <v>466</v>
      </c>
      <c r="B68" s="54">
        <v>74</v>
      </c>
      <c r="C68" s="54">
        <v>114</v>
      </c>
      <c r="D68" s="58">
        <v>95.5</v>
      </c>
      <c r="E68" s="54">
        <v>-25.8</v>
      </c>
      <c r="F68" s="54">
        <v>294.2</v>
      </c>
      <c r="G68" s="53">
        <v>14</v>
      </c>
      <c r="H68" s="54">
        <v>5</v>
      </c>
      <c r="I68" s="54">
        <v>-46</v>
      </c>
      <c r="J68" s="54">
        <v>27</v>
      </c>
      <c r="K68" s="54">
        <v>8</v>
      </c>
      <c r="L68" s="55">
        <v>-85</v>
      </c>
      <c r="M68" s="55">
        <v>222</v>
      </c>
      <c r="N68" s="54"/>
      <c r="O68" s="54"/>
      <c r="P68" s="54">
        <v>28.480426784331268</v>
      </c>
      <c r="Q68" s="54">
        <v>7.5782051319253636</v>
      </c>
      <c r="R68" s="52">
        <v>290</v>
      </c>
      <c r="S68" s="55">
        <v>-75.743745242138104</v>
      </c>
      <c r="T68" s="55">
        <v>67.9255765779521</v>
      </c>
      <c r="U68" s="54">
        <v>61.187059526989898</v>
      </c>
      <c r="V68" s="54">
        <v>-37.402630064566999</v>
      </c>
      <c r="W68" s="54">
        <v>40.493275620430701</v>
      </c>
      <c r="X68" s="52" t="s">
        <v>217</v>
      </c>
      <c r="Y68" s="52"/>
      <c r="Z68" s="52"/>
      <c r="AA68" s="56" t="b">
        <v>1</v>
      </c>
      <c r="AB68" s="52" t="s">
        <v>218</v>
      </c>
      <c r="AC68" s="49" t="s">
        <v>467</v>
      </c>
      <c r="AD68" s="52">
        <v>1131</v>
      </c>
      <c r="AE68" s="52" t="s">
        <v>147</v>
      </c>
      <c r="AF68" s="56" t="s">
        <v>469</v>
      </c>
      <c r="AG68" s="49" t="s">
        <v>468</v>
      </c>
      <c r="AH68" s="56" t="s">
        <v>1361</v>
      </c>
      <c r="AJ68" s="32"/>
    </row>
    <row r="69" spans="1:36" s="12" customFormat="1" ht="14" customHeight="1" x14ac:dyDescent="0.2">
      <c r="A69" s="14" t="s">
        <v>580</v>
      </c>
      <c r="B69" s="9">
        <v>151.19999999999999</v>
      </c>
      <c r="C69" s="9">
        <v>154.4</v>
      </c>
      <c r="D69" s="13">
        <v>152.80000000000001</v>
      </c>
      <c r="E69" s="9">
        <v>-22.2</v>
      </c>
      <c r="F69" s="9">
        <f>360-70.2</f>
        <v>289.8</v>
      </c>
      <c r="G69" s="34">
        <v>18</v>
      </c>
      <c r="H69" s="9"/>
      <c r="I69" s="9"/>
      <c r="J69" s="9"/>
      <c r="K69" s="9"/>
      <c r="L69" s="13">
        <v>-84.5</v>
      </c>
      <c r="M69" s="6">
        <v>76.400000000000006</v>
      </c>
      <c r="N69" s="9">
        <v>11.2</v>
      </c>
      <c r="O69" s="9">
        <v>10.8</v>
      </c>
      <c r="P69" s="9" t="s">
        <v>1203</v>
      </c>
      <c r="Q69" s="9" t="s">
        <v>1203</v>
      </c>
      <c r="R69" s="7">
        <v>290</v>
      </c>
      <c r="S69" s="13">
        <v>-47.954748724504</v>
      </c>
      <c r="T69" s="13">
        <v>84.096764600103</v>
      </c>
      <c r="U69" s="9">
        <v>47.499999999999901</v>
      </c>
      <c r="V69" s="9">
        <v>-33.299999999999997</v>
      </c>
      <c r="W69" s="9">
        <v>57.299999999999898</v>
      </c>
      <c r="X69" s="7" t="s">
        <v>1202</v>
      </c>
      <c r="Y69" s="7"/>
      <c r="Z69" s="7"/>
      <c r="AA69" s="7" t="b">
        <v>1</v>
      </c>
      <c r="AB69" s="7">
        <v>0</v>
      </c>
      <c r="AC69" s="14" t="s">
        <v>581</v>
      </c>
      <c r="AD69" s="7"/>
      <c r="AE69" s="7" t="s">
        <v>1369</v>
      </c>
      <c r="AF69" s="10" t="s">
        <v>1213</v>
      </c>
      <c r="AG69" s="14"/>
      <c r="AH69" s="10" t="s">
        <v>1335</v>
      </c>
      <c r="AJ69" s="32"/>
    </row>
    <row r="70" spans="1:36" s="12" customFormat="1" ht="14" customHeight="1" x14ac:dyDescent="0.2">
      <c r="A70" s="14" t="s">
        <v>616</v>
      </c>
      <c r="B70" s="9">
        <v>162.19999999999999</v>
      </c>
      <c r="C70" s="9">
        <v>169.4</v>
      </c>
      <c r="D70" s="13">
        <v>165.8</v>
      </c>
      <c r="E70" s="9">
        <v>-22.2</v>
      </c>
      <c r="F70" s="9">
        <f>360-70.2</f>
        <v>289.8</v>
      </c>
      <c r="G70" s="34">
        <v>28</v>
      </c>
      <c r="H70" s="9"/>
      <c r="I70" s="9"/>
      <c r="J70" s="9"/>
      <c r="K70" s="9"/>
      <c r="L70" s="13">
        <v>-84.3</v>
      </c>
      <c r="M70" s="6">
        <v>180.9</v>
      </c>
      <c r="N70" s="9">
        <v>13.8</v>
      </c>
      <c r="O70" s="9">
        <v>7.6</v>
      </c>
      <c r="P70" s="9" t="s">
        <v>1203</v>
      </c>
      <c r="Q70" s="9" t="s">
        <v>1203</v>
      </c>
      <c r="R70" s="7">
        <v>290</v>
      </c>
      <c r="S70" s="13">
        <v>-56.803561625282697</v>
      </c>
      <c r="T70" s="13">
        <v>84.440980145546007</v>
      </c>
      <c r="U70" s="9">
        <v>47.499999999999901</v>
      </c>
      <c r="V70" s="9">
        <v>-33.299999999999997</v>
      </c>
      <c r="W70" s="9">
        <v>57.299999999999898</v>
      </c>
      <c r="X70" s="7" t="s">
        <v>1202</v>
      </c>
      <c r="Y70" s="7"/>
      <c r="Z70" s="7"/>
      <c r="AA70" s="7" t="b">
        <v>1</v>
      </c>
      <c r="AB70" s="7">
        <v>0</v>
      </c>
      <c r="AC70" s="14" t="s">
        <v>581</v>
      </c>
      <c r="AD70" s="7"/>
      <c r="AE70" s="7" t="s">
        <v>1369</v>
      </c>
      <c r="AF70" s="10" t="s">
        <v>1213</v>
      </c>
      <c r="AG70" s="14"/>
      <c r="AH70" s="10" t="s">
        <v>1335</v>
      </c>
      <c r="AJ70" s="32"/>
    </row>
    <row r="71" spans="1:36" s="12" customFormat="1" ht="14" customHeight="1" x14ac:dyDescent="0.2">
      <c r="A71" s="56" t="s">
        <v>657</v>
      </c>
      <c r="B71" s="52">
        <v>174.1</v>
      </c>
      <c r="C71" s="52">
        <v>190.8</v>
      </c>
      <c r="D71" s="55">
        <v>182.45</v>
      </c>
      <c r="E71" s="54">
        <v>-37.299999999999997</v>
      </c>
      <c r="F71" s="54">
        <v>-70.5</v>
      </c>
      <c r="G71" s="58">
        <v>52</v>
      </c>
      <c r="H71" s="54"/>
      <c r="I71" s="54"/>
      <c r="J71" s="54"/>
      <c r="K71" s="54">
        <v>4.5</v>
      </c>
      <c r="L71" s="55">
        <v>-74</v>
      </c>
      <c r="M71" s="55">
        <v>67</v>
      </c>
      <c r="N71" s="54">
        <v>16.600000000000001</v>
      </c>
      <c r="O71" s="54">
        <v>5</v>
      </c>
      <c r="P71" s="54" t="s">
        <v>1203</v>
      </c>
      <c r="Q71" s="54" t="s">
        <v>1203</v>
      </c>
      <c r="R71" s="52">
        <v>290</v>
      </c>
      <c r="S71" s="55">
        <v>-38.072169140291102</v>
      </c>
      <c r="T71" s="55">
        <v>89.405402527662503</v>
      </c>
      <c r="U71" s="54">
        <v>47.499999999999901</v>
      </c>
      <c r="V71" s="54">
        <v>-33.299999999999997</v>
      </c>
      <c r="W71" s="54">
        <v>57.299999999999898</v>
      </c>
      <c r="X71" s="52" t="s">
        <v>217</v>
      </c>
      <c r="Y71" s="56"/>
      <c r="Z71" s="56"/>
      <c r="AA71" s="52" t="b">
        <v>1</v>
      </c>
      <c r="AB71" s="52" t="s">
        <v>31</v>
      </c>
      <c r="AC71" s="49" t="s">
        <v>658</v>
      </c>
      <c r="AD71" s="52"/>
      <c r="AE71" s="52" t="s">
        <v>147</v>
      </c>
      <c r="AF71" s="56" t="s">
        <v>659</v>
      </c>
      <c r="AG71" s="78"/>
      <c r="AH71" s="56" t="s">
        <v>1442</v>
      </c>
      <c r="AJ71" s="32"/>
    </row>
    <row r="72" spans="1:36" s="17" customFormat="1" ht="14" customHeight="1" x14ac:dyDescent="0.2">
      <c r="A72" s="10" t="s">
        <v>660</v>
      </c>
      <c r="B72" s="9">
        <v>178</v>
      </c>
      <c r="C72" s="9">
        <v>188</v>
      </c>
      <c r="D72" s="13">
        <v>183</v>
      </c>
      <c r="E72" s="9">
        <v>-44.75</v>
      </c>
      <c r="F72" s="9">
        <v>-65.58</v>
      </c>
      <c r="G72" s="6">
        <v>10</v>
      </c>
      <c r="H72" s="9">
        <v>2.9</v>
      </c>
      <c r="I72" s="9">
        <v>-57</v>
      </c>
      <c r="J72" s="9">
        <v>32</v>
      </c>
      <c r="K72" s="9">
        <v>8.6999999999999993</v>
      </c>
      <c r="L72" s="13">
        <v>-83</v>
      </c>
      <c r="M72" s="13">
        <v>138</v>
      </c>
      <c r="N72" s="9">
        <v>19.2</v>
      </c>
      <c r="O72" s="9">
        <v>11.3</v>
      </c>
      <c r="P72" s="9" t="s">
        <v>1203</v>
      </c>
      <c r="Q72" s="9" t="s">
        <v>1203</v>
      </c>
      <c r="R72" s="7">
        <v>290</v>
      </c>
      <c r="S72" s="13">
        <v>-53.261445826592002</v>
      </c>
      <c r="T72" s="13">
        <v>90.079073152992805</v>
      </c>
      <c r="U72" s="9">
        <v>47.499999999999901</v>
      </c>
      <c r="V72" s="9">
        <v>-33.299999999999997</v>
      </c>
      <c r="W72" s="9">
        <v>57.299999999999898</v>
      </c>
      <c r="X72" s="7" t="s">
        <v>1202</v>
      </c>
      <c r="Y72" s="10"/>
      <c r="Z72" s="10"/>
      <c r="AA72" s="7" t="b">
        <v>1</v>
      </c>
      <c r="AB72" s="7">
        <v>0</v>
      </c>
      <c r="AC72" s="14" t="s">
        <v>583</v>
      </c>
      <c r="AD72" s="7">
        <v>3535</v>
      </c>
      <c r="AE72" s="7" t="s">
        <v>147</v>
      </c>
      <c r="AF72" s="10" t="s">
        <v>661</v>
      </c>
      <c r="AG72" s="14"/>
      <c r="AH72" s="10"/>
      <c r="AJ72" s="32"/>
    </row>
    <row r="73" spans="1:36" s="17" customFormat="1" ht="14" customHeight="1" x14ac:dyDescent="0.2">
      <c r="A73" s="56" t="s">
        <v>688</v>
      </c>
      <c r="B73" s="54">
        <v>174.7</v>
      </c>
      <c r="C73" s="54">
        <v>192.9</v>
      </c>
      <c r="D73" s="55">
        <f>(B73+C73)/2</f>
        <v>183.8</v>
      </c>
      <c r="E73" s="54">
        <v>-43.5</v>
      </c>
      <c r="F73" s="54">
        <v>289.5</v>
      </c>
      <c r="G73" s="58">
        <v>13</v>
      </c>
      <c r="H73" s="54">
        <v>5.6</v>
      </c>
      <c r="I73" s="54">
        <v>-48.2</v>
      </c>
      <c r="J73" s="54">
        <v>54.1</v>
      </c>
      <c r="K73" s="54">
        <v>5.7</v>
      </c>
      <c r="L73" s="55">
        <v>-75.5</v>
      </c>
      <c r="M73" s="55">
        <v>129.4</v>
      </c>
      <c r="N73" s="54">
        <v>38.659999999999997</v>
      </c>
      <c r="O73" s="54">
        <v>6.8</v>
      </c>
      <c r="P73" s="54" t="s">
        <v>1203</v>
      </c>
      <c r="Q73" s="54" t="s">
        <v>1203</v>
      </c>
      <c r="R73" s="52">
        <v>290</v>
      </c>
      <c r="S73" s="55">
        <v>-51.023286895819602</v>
      </c>
      <c r="T73" s="55">
        <v>102.01549722125699</v>
      </c>
      <c r="U73" s="54">
        <v>47.499999999999901</v>
      </c>
      <c r="V73" s="54">
        <v>-33.299999999999997</v>
      </c>
      <c r="W73" s="54">
        <v>57.299999999999898</v>
      </c>
      <c r="X73" s="52" t="s">
        <v>217</v>
      </c>
      <c r="Y73" s="56"/>
      <c r="Z73" s="56"/>
      <c r="AA73" s="52" t="b">
        <v>1</v>
      </c>
      <c r="AB73" s="52" t="s">
        <v>218</v>
      </c>
      <c r="AC73" s="49" t="s">
        <v>622</v>
      </c>
      <c r="AD73" s="59">
        <v>3314</v>
      </c>
      <c r="AE73" s="52" t="s">
        <v>147</v>
      </c>
      <c r="AF73" s="56" t="s">
        <v>1353</v>
      </c>
      <c r="AG73" s="49" t="s">
        <v>1330</v>
      </c>
      <c r="AH73" s="56"/>
      <c r="AJ73" s="32"/>
    </row>
    <row r="74" spans="1:36" s="12" customFormat="1" ht="14" customHeight="1" x14ac:dyDescent="0.2">
      <c r="A74" s="56" t="s">
        <v>721</v>
      </c>
      <c r="B74" s="54">
        <v>190.8</v>
      </c>
      <c r="C74" s="54">
        <v>201.3</v>
      </c>
      <c r="D74" s="55">
        <v>196.1</v>
      </c>
      <c r="E74" s="52">
        <v>-34.799999999999997</v>
      </c>
      <c r="F74" s="54">
        <v>-69.8</v>
      </c>
      <c r="G74" s="58">
        <v>25</v>
      </c>
      <c r="H74" s="54"/>
      <c r="I74" s="54"/>
      <c r="J74" s="54"/>
      <c r="K74" s="54"/>
      <c r="L74" s="55">
        <v>-51</v>
      </c>
      <c r="M74" s="55">
        <v>223</v>
      </c>
      <c r="N74" s="54"/>
      <c r="O74" s="54"/>
      <c r="P74" s="54"/>
      <c r="Q74" s="54"/>
      <c r="R74" s="52">
        <v>290</v>
      </c>
      <c r="S74" s="55">
        <v>-84.746016087271698</v>
      </c>
      <c r="T74" s="55">
        <v>338.69833925760099</v>
      </c>
      <c r="U74" s="54">
        <v>47.499999999999901</v>
      </c>
      <c r="V74" s="54">
        <v>-33.299999999999997</v>
      </c>
      <c r="W74" s="54">
        <v>57.299999999999898</v>
      </c>
      <c r="X74" s="52" t="s">
        <v>217</v>
      </c>
      <c r="Y74" s="56"/>
      <c r="Z74" s="56"/>
      <c r="AA74" s="52" t="b">
        <v>0</v>
      </c>
      <c r="AB74" s="52" t="s">
        <v>31</v>
      </c>
      <c r="AC74" s="49" t="s">
        <v>658</v>
      </c>
      <c r="AD74" s="52"/>
      <c r="AE74" s="52" t="s">
        <v>147</v>
      </c>
      <c r="AF74" s="56" t="s">
        <v>722</v>
      </c>
      <c r="AG74" s="49"/>
      <c r="AH74" s="56" t="s">
        <v>1442</v>
      </c>
      <c r="AJ74" s="32"/>
    </row>
    <row r="75" spans="1:36" s="12" customFormat="1" ht="14" customHeight="1" x14ac:dyDescent="0.2">
      <c r="A75" s="49" t="s">
        <v>774</v>
      </c>
      <c r="B75" s="52">
        <v>201.4</v>
      </c>
      <c r="C75" s="54">
        <v>237</v>
      </c>
      <c r="D75" s="55">
        <f>(B75+C75)/2</f>
        <v>219.2</v>
      </c>
      <c r="E75" s="52">
        <v>-32.4</v>
      </c>
      <c r="F75" s="52">
        <v>-69.3</v>
      </c>
      <c r="G75" s="58">
        <v>12</v>
      </c>
      <c r="H75" s="54"/>
      <c r="I75" s="54"/>
      <c r="J75" s="54">
        <v>55.1</v>
      </c>
      <c r="K75" s="54">
        <v>5.9</v>
      </c>
      <c r="L75" s="55">
        <v>-81.8</v>
      </c>
      <c r="M75" s="58">
        <v>298.3</v>
      </c>
      <c r="N75" s="54">
        <v>30.2</v>
      </c>
      <c r="O75" s="54">
        <v>7.6</v>
      </c>
      <c r="P75" s="54" t="s">
        <v>1203</v>
      </c>
      <c r="Q75" s="54" t="s">
        <v>1203</v>
      </c>
      <c r="R75" s="52">
        <v>290</v>
      </c>
      <c r="S75" s="55">
        <v>-52.364578733228498</v>
      </c>
      <c r="T75" s="55">
        <v>65.219893750879606</v>
      </c>
      <c r="U75" s="54">
        <v>47.499999999999901</v>
      </c>
      <c r="V75" s="54">
        <v>-33.299999999999997</v>
      </c>
      <c r="W75" s="54">
        <v>57.299999999999898</v>
      </c>
      <c r="X75" s="52" t="s">
        <v>1204</v>
      </c>
      <c r="Y75" s="56"/>
      <c r="Z75" s="56"/>
      <c r="AA75" s="52" t="b">
        <v>1</v>
      </c>
      <c r="AB75" s="52" t="s">
        <v>165</v>
      </c>
      <c r="AC75" s="49" t="s">
        <v>775</v>
      </c>
      <c r="AD75" s="52"/>
      <c r="AE75" s="52" t="s">
        <v>147</v>
      </c>
      <c r="AF75" s="56" t="s">
        <v>1421</v>
      </c>
      <c r="AG75" s="49"/>
      <c r="AH75" s="56" t="s">
        <v>1361</v>
      </c>
      <c r="AJ75" s="32"/>
    </row>
    <row r="76" spans="1:36" s="12" customFormat="1" ht="14" customHeight="1" x14ac:dyDescent="0.2">
      <c r="A76" s="56" t="s">
        <v>798</v>
      </c>
      <c r="B76" s="54">
        <v>235</v>
      </c>
      <c r="C76" s="54">
        <v>245</v>
      </c>
      <c r="D76" s="55">
        <v>240</v>
      </c>
      <c r="E76" s="52">
        <v>-30.3</v>
      </c>
      <c r="F76" s="54">
        <v>-67.7</v>
      </c>
      <c r="G76" s="58">
        <v>26</v>
      </c>
      <c r="H76" s="54">
        <v>176.5</v>
      </c>
      <c r="I76" s="54">
        <v>56</v>
      </c>
      <c r="J76" s="54"/>
      <c r="K76" s="54">
        <v>7</v>
      </c>
      <c r="L76" s="55">
        <v>-83</v>
      </c>
      <c r="M76" s="55">
        <v>317</v>
      </c>
      <c r="N76" s="54">
        <v>12</v>
      </c>
      <c r="O76" s="54">
        <v>8.5</v>
      </c>
      <c r="P76" s="54" t="s">
        <v>1203</v>
      </c>
      <c r="Q76" s="54" t="s">
        <v>1203</v>
      </c>
      <c r="R76" s="52">
        <v>290</v>
      </c>
      <c r="S76" s="55">
        <v>-50.213099253413297</v>
      </c>
      <c r="T76" s="55">
        <v>67.914222395198806</v>
      </c>
      <c r="U76" s="54">
        <v>47.499999999999901</v>
      </c>
      <c r="V76" s="54">
        <v>-33.299999999999997</v>
      </c>
      <c r="W76" s="54">
        <v>57.299999999999898</v>
      </c>
      <c r="X76" s="52" t="s">
        <v>1204</v>
      </c>
      <c r="Y76" s="56"/>
      <c r="Z76" s="56"/>
      <c r="AA76" s="52" t="b">
        <v>1</v>
      </c>
      <c r="AB76" s="52" t="s">
        <v>31</v>
      </c>
      <c r="AC76" s="49" t="s">
        <v>799</v>
      </c>
      <c r="AD76" s="52">
        <v>1132</v>
      </c>
      <c r="AE76" s="52" t="s">
        <v>147</v>
      </c>
      <c r="AF76" s="56"/>
      <c r="AG76" s="49"/>
      <c r="AH76" s="56" t="s">
        <v>800</v>
      </c>
      <c r="AJ76" s="32"/>
    </row>
    <row r="77" spans="1:36" s="12" customFormat="1" ht="14" customHeight="1" x14ac:dyDescent="0.2">
      <c r="A77" s="14" t="s">
        <v>812</v>
      </c>
      <c r="B77" s="9">
        <v>235.3</v>
      </c>
      <c r="C77" s="7">
        <v>254.7</v>
      </c>
      <c r="D77" s="13">
        <f>(B77+C77)/2</f>
        <v>245</v>
      </c>
      <c r="E77" s="7">
        <v>-34.6</v>
      </c>
      <c r="F77" s="9">
        <v>-68.3</v>
      </c>
      <c r="G77" s="6">
        <v>14</v>
      </c>
      <c r="H77" s="9">
        <v>353.1</v>
      </c>
      <c r="I77" s="9">
        <v>-64.7</v>
      </c>
      <c r="J77" s="9">
        <v>63.8</v>
      </c>
      <c r="K77" s="9">
        <v>5</v>
      </c>
      <c r="L77" s="13">
        <v>-76.7</v>
      </c>
      <c r="M77" s="13">
        <v>312.39999999999998</v>
      </c>
      <c r="N77" s="7">
        <v>30.6</v>
      </c>
      <c r="O77" s="7">
        <v>7.3</v>
      </c>
      <c r="P77" s="43" t="s">
        <v>1203</v>
      </c>
      <c r="Q77" s="43" t="s">
        <v>1203</v>
      </c>
      <c r="R77" s="7">
        <v>290</v>
      </c>
      <c r="S77" s="13">
        <v>-48.609152074606399</v>
      </c>
      <c r="T77" s="13">
        <v>58.467936131191102</v>
      </c>
      <c r="U77" s="9">
        <v>47.499999999999901</v>
      </c>
      <c r="V77" s="9">
        <v>-33.299999999999997</v>
      </c>
      <c r="W77" s="9">
        <v>57.299999999999898</v>
      </c>
      <c r="X77" s="7" t="s">
        <v>1202</v>
      </c>
      <c r="Y77" s="10"/>
      <c r="Z77" s="10"/>
      <c r="AA77" s="7" t="b">
        <v>1</v>
      </c>
      <c r="AB77" s="7">
        <v>0</v>
      </c>
      <c r="AC77" s="14" t="s">
        <v>813</v>
      </c>
      <c r="AD77" s="7"/>
      <c r="AE77" s="7" t="s">
        <v>147</v>
      </c>
      <c r="AF77" s="10" t="s">
        <v>1325</v>
      </c>
      <c r="AG77" s="14" t="s">
        <v>1271</v>
      </c>
      <c r="AH77" s="10"/>
      <c r="AJ77" s="32"/>
    </row>
    <row r="78" spans="1:36" s="12" customFormat="1" ht="14" customHeight="1" x14ac:dyDescent="0.2">
      <c r="A78" s="56" t="s">
        <v>814</v>
      </c>
      <c r="B78" s="54">
        <v>235.3</v>
      </c>
      <c r="C78" s="52">
        <v>254.7</v>
      </c>
      <c r="D78" s="55">
        <f>(B78+C78)/2</f>
        <v>245</v>
      </c>
      <c r="E78" s="52">
        <v>-34.6</v>
      </c>
      <c r="F78" s="54">
        <v>-68.3</v>
      </c>
      <c r="G78" s="58">
        <v>13</v>
      </c>
      <c r="H78" s="54">
        <v>348.3</v>
      </c>
      <c r="I78" s="54">
        <v>-61.9</v>
      </c>
      <c r="J78" s="54">
        <v>129.9</v>
      </c>
      <c r="K78" s="54">
        <v>3.7</v>
      </c>
      <c r="L78" s="55">
        <v>-81</v>
      </c>
      <c r="M78" s="55">
        <v>301</v>
      </c>
      <c r="N78" s="52">
        <v>75.599999999999994</v>
      </c>
      <c r="O78" s="52">
        <v>4.8</v>
      </c>
      <c r="P78" s="54" t="s">
        <v>1203</v>
      </c>
      <c r="Q78" s="54" t="s">
        <v>1203</v>
      </c>
      <c r="R78" s="52">
        <v>290</v>
      </c>
      <c r="S78" s="55">
        <v>-51.879542372023302</v>
      </c>
      <c r="T78" s="55">
        <v>63.993044609670598</v>
      </c>
      <c r="U78" s="54">
        <v>47.499999999999901</v>
      </c>
      <c r="V78" s="54">
        <v>-33.299999999999997</v>
      </c>
      <c r="W78" s="54">
        <v>57.299999999999898</v>
      </c>
      <c r="X78" s="52" t="s">
        <v>1204</v>
      </c>
      <c r="Y78" s="56"/>
      <c r="Z78" s="56"/>
      <c r="AA78" s="52" t="b">
        <v>1</v>
      </c>
      <c r="AB78" s="52" t="s">
        <v>165</v>
      </c>
      <c r="AC78" s="49" t="s">
        <v>813</v>
      </c>
      <c r="AD78" s="52"/>
      <c r="AE78" s="52" t="s">
        <v>147</v>
      </c>
      <c r="AF78" s="56" t="s">
        <v>1325</v>
      </c>
      <c r="AG78" s="49" t="s">
        <v>1271</v>
      </c>
      <c r="AH78" s="56" t="s">
        <v>1420</v>
      </c>
      <c r="AJ78" s="32"/>
    </row>
    <row r="79" spans="1:36" s="12" customFormat="1" ht="14" customHeight="1" x14ac:dyDescent="0.2">
      <c r="A79" s="10" t="s">
        <v>905</v>
      </c>
      <c r="B79" s="9">
        <v>261</v>
      </c>
      <c r="C79" s="9">
        <v>264.60000000000002</v>
      </c>
      <c r="D79" s="13">
        <v>263</v>
      </c>
      <c r="E79" s="9">
        <v>-37.54</v>
      </c>
      <c r="F79" s="9">
        <v>-65.28</v>
      </c>
      <c r="G79" s="6">
        <v>35</v>
      </c>
      <c r="H79" s="9">
        <v>152.9</v>
      </c>
      <c r="I79" s="9">
        <v>74.2</v>
      </c>
      <c r="J79" s="9">
        <v>95.5</v>
      </c>
      <c r="K79" s="9">
        <v>2.5</v>
      </c>
      <c r="L79" s="13">
        <v>-80.099999999999994</v>
      </c>
      <c r="M79" s="13">
        <v>349</v>
      </c>
      <c r="N79" s="9">
        <v>54.9</v>
      </c>
      <c r="O79" s="9">
        <v>3.3</v>
      </c>
      <c r="P79" s="43" t="s">
        <v>1203</v>
      </c>
      <c r="Q79" s="43" t="s">
        <v>1203</v>
      </c>
      <c r="R79" s="7">
        <v>290</v>
      </c>
      <c r="S79" s="13">
        <v>-44.819192233087399</v>
      </c>
      <c r="T79" s="13">
        <v>68.640227337660093</v>
      </c>
      <c r="U79" s="9">
        <v>47.499999999999901</v>
      </c>
      <c r="V79" s="9">
        <v>-33.299999999999997</v>
      </c>
      <c r="W79" s="9">
        <v>57.299999999999898</v>
      </c>
      <c r="X79" s="7" t="s">
        <v>1202</v>
      </c>
      <c r="Y79" s="10"/>
      <c r="Z79" s="10"/>
      <c r="AA79" s="7" t="b">
        <v>1</v>
      </c>
      <c r="AB79" s="7">
        <v>0</v>
      </c>
      <c r="AC79" s="14" t="s">
        <v>906</v>
      </c>
      <c r="AD79" s="7"/>
      <c r="AE79" s="7" t="s">
        <v>147</v>
      </c>
      <c r="AF79" s="10" t="s">
        <v>907</v>
      </c>
      <c r="AG79" s="14"/>
      <c r="AH79" s="10"/>
      <c r="AJ79" s="32"/>
    </row>
    <row r="80" spans="1:36" s="10" customFormat="1" ht="14" customHeight="1" x14ac:dyDescent="0.2">
      <c r="A80" s="10" t="s">
        <v>914</v>
      </c>
      <c r="B80" s="9">
        <v>261.5</v>
      </c>
      <c r="C80" s="9">
        <v>265.5</v>
      </c>
      <c r="D80" s="13">
        <v>263.5</v>
      </c>
      <c r="E80" s="9">
        <v>-34.700000000000003</v>
      </c>
      <c r="F80" s="9">
        <v>-68.3</v>
      </c>
      <c r="G80" s="6">
        <v>40</v>
      </c>
      <c r="H80" s="9">
        <v>349.8</v>
      </c>
      <c r="I80" s="9">
        <v>-66.2</v>
      </c>
      <c r="J80" s="9">
        <v>69.599999999999994</v>
      </c>
      <c r="K80" s="9">
        <v>2.7</v>
      </c>
      <c r="L80" s="13">
        <v>-73.7</v>
      </c>
      <c r="M80" s="13">
        <v>315.60000000000002</v>
      </c>
      <c r="N80" s="9">
        <v>31.4</v>
      </c>
      <c r="O80" s="9">
        <v>4.0999999999999996</v>
      </c>
      <c r="P80" s="43" t="s">
        <v>1203</v>
      </c>
      <c r="Q80" s="43" t="s">
        <v>1203</v>
      </c>
      <c r="R80" s="7">
        <v>290</v>
      </c>
      <c r="S80" s="13">
        <v>-46.555702408720002</v>
      </c>
      <c r="T80" s="13">
        <v>55.007526935959298</v>
      </c>
      <c r="U80" s="9">
        <v>47.499999999999901</v>
      </c>
      <c r="V80" s="9">
        <v>-33.299999999999997</v>
      </c>
      <c r="W80" s="9">
        <v>57.299999999999898</v>
      </c>
      <c r="X80" s="7" t="s">
        <v>1202</v>
      </c>
      <c r="AA80" s="7" t="b">
        <v>1</v>
      </c>
      <c r="AB80" s="7">
        <v>0</v>
      </c>
      <c r="AC80" s="14" t="s">
        <v>813</v>
      </c>
      <c r="AD80" s="7"/>
      <c r="AE80" s="7" t="s">
        <v>147</v>
      </c>
      <c r="AF80" s="10" t="s">
        <v>1324</v>
      </c>
      <c r="AG80" s="14"/>
      <c r="AJ80" s="32"/>
    </row>
    <row r="81" spans="1:36" s="12" customFormat="1" ht="14" customHeight="1" x14ac:dyDescent="0.2">
      <c r="A81" s="14" t="s">
        <v>930</v>
      </c>
      <c r="B81" s="9">
        <v>259.60000000000002</v>
      </c>
      <c r="C81" s="9">
        <v>274.39999999999998</v>
      </c>
      <c r="D81" s="13">
        <v>267</v>
      </c>
      <c r="E81" s="9">
        <v>-32.200000000000003</v>
      </c>
      <c r="F81" s="9">
        <v>290.5</v>
      </c>
      <c r="G81" s="6">
        <v>16</v>
      </c>
      <c r="H81" s="9">
        <v>176.2</v>
      </c>
      <c r="I81" s="9">
        <v>60.2</v>
      </c>
      <c r="J81" s="9">
        <v>50.6</v>
      </c>
      <c r="K81" s="9">
        <v>5.2</v>
      </c>
      <c r="L81" s="13">
        <v>-78.900000000000006</v>
      </c>
      <c r="M81" s="13">
        <v>319.60000000000002</v>
      </c>
      <c r="N81" s="9">
        <v>33.5</v>
      </c>
      <c r="O81" s="9">
        <v>6.5</v>
      </c>
      <c r="P81" s="9" t="s">
        <v>1203</v>
      </c>
      <c r="Q81" s="9" t="s">
        <v>1203</v>
      </c>
      <c r="R81" s="7">
        <v>290</v>
      </c>
      <c r="S81" s="13">
        <v>-48.172137877958797</v>
      </c>
      <c r="T81" s="13">
        <v>62.436352164725797</v>
      </c>
      <c r="U81" s="9">
        <v>47.499999999999901</v>
      </c>
      <c r="V81" s="9">
        <v>-33.299999999999997</v>
      </c>
      <c r="W81" s="9">
        <v>57.299999999999898</v>
      </c>
      <c r="X81" s="7" t="s">
        <v>1202</v>
      </c>
      <c r="Y81" s="10"/>
      <c r="Z81" s="10"/>
      <c r="AA81" s="7" t="b">
        <v>1</v>
      </c>
      <c r="AB81" s="7">
        <v>0</v>
      </c>
      <c r="AC81" s="14" t="s">
        <v>931</v>
      </c>
      <c r="AD81" s="30">
        <v>2475</v>
      </c>
      <c r="AE81" s="7" t="s">
        <v>147</v>
      </c>
      <c r="AF81" s="10" t="s">
        <v>1301</v>
      </c>
      <c r="AG81" s="14"/>
      <c r="AH81" s="10"/>
      <c r="AJ81" s="32"/>
    </row>
    <row r="82" spans="1:36" s="12" customFormat="1" ht="14" customHeight="1" x14ac:dyDescent="0.2">
      <c r="A82" s="56" t="s">
        <v>961</v>
      </c>
      <c r="B82" s="54">
        <v>265</v>
      </c>
      <c r="C82" s="54">
        <v>287</v>
      </c>
      <c r="D82" s="55">
        <v>276</v>
      </c>
      <c r="E82" s="54">
        <v>-36.39</v>
      </c>
      <c r="F82" s="54">
        <v>-67.2</v>
      </c>
      <c r="G82" s="53">
        <v>25</v>
      </c>
      <c r="H82" s="54">
        <v>142.69999999999999</v>
      </c>
      <c r="I82" s="54">
        <v>62.6</v>
      </c>
      <c r="J82" s="54">
        <v>92.4</v>
      </c>
      <c r="K82" s="54">
        <v>3</v>
      </c>
      <c r="L82" s="55">
        <v>-60.8</v>
      </c>
      <c r="M82" s="55">
        <v>356.6</v>
      </c>
      <c r="N82" s="54">
        <v>42.4</v>
      </c>
      <c r="O82" s="54">
        <v>4.5</v>
      </c>
      <c r="P82" s="54" t="s">
        <v>1203</v>
      </c>
      <c r="Q82" s="54" t="s">
        <v>1203</v>
      </c>
      <c r="R82" s="52">
        <v>290</v>
      </c>
      <c r="S82" s="55">
        <v>-27.041372874153801</v>
      </c>
      <c r="T82" s="55">
        <v>58.859214517648397</v>
      </c>
      <c r="U82" s="54">
        <v>47.499999999999901</v>
      </c>
      <c r="V82" s="54">
        <v>-33.299999999999997</v>
      </c>
      <c r="W82" s="54">
        <v>57.299999999999898</v>
      </c>
      <c r="X82" s="52" t="s">
        <v>1202</v>
      </c>
      <c r="Y82" s="56"/>
      <c r="Z82" s="54"/>
      <c r="AA82" s="52" t="b">
        <v>1</v>
      </c>
      <c r="AB82" s="52" t="s">
        <v>31</v>
      </c>
      <c r="AC82" s="56" t="s">
        <v>962</v>
      </c>
      <c r="AD82" s="52"/>
      <c r="AE82" s="52" t="s">
        <v>1369</v>
      </c>
      <c r="AF82" s="56" t="s">
        <v>964</v>
      </c>
      <c r="AG82" s="49" t="s">
        <v>963</v>
      </c>
      <c r="AH82" s="49" t="s">
        <v>1361</v>
      </c>
      <c r="AJ82" s="32"/>
    </row>
    <row r="83" spans="1:36" s="12" customFormat="1" ht="14" customHeight="1" x14ac:dyDescent="0.2">
      <c r="A83" s="56" t="s">
        <v>996</v>
      </c>
      <c r="B83" s="54"/>
      <c r="C83" s="54"/>
      <c r="D83" s="55">
        <v>283</v>
      </c>
      <c r="E83" s="54"/>
      <c r="F83" s="54"/>
      <c r="G83" s="53"/>
      <c r="H83" s="54"/>
      <c r="I83" s="54"/>
      <c r="J83" s="54"/>
      <c r="K83" s="54"/>
      <c r="L83" s="55">
        <v>-74</v>
      </c>
      <c r="M83" s="55">
        <v>313</v>
      </c>
      <c r="N83" s="54"/>
      <c r="O83" s="54"/>
      <c r="P83" s="54"/>
      <c r="Q83" s="54"/>
      <c r="R83" s="52">
        <v>290</v>
      </c>
      <c r="S83" s="55">
        <v>-47.3353894650391</v>
      </c>
      <c r="T83" s="55">
        <v>54.904192460424497</v>
      </c>
      <c r="U83" s="54">
        <v>47.499999999999901</v>
      </c>
      <c r="V83" s="54">
        <v>-33.299999999999997</v>
      </c>
      <c r="W83" s="54">
        <v>57.299999999999898</v>
      </c>
      <c r="X83" s="52" t="s">
        <v>1204</v>
      </c>
      <c r="Y83" s="56"/>
      <c r="Z83" s="56"/>
      <c r="AA83" s="52" t="b">
        <v>0</v>
      </c>
      <c r="AB83" s="52" t="s">
        <v>31</v>
      </c>
      <c r="AC83" s="49" t="s">
        <v>997</v>
      </c>
      <c r="AD83" s="52">
        <v>166</v>
      </c>
      <c r="AE83" s="52" t="s">
        <v>147</v>
      </c>
      <c r="AF83" s="56"/>
      <c r="AG83" s="49"/>
      <c r="AH83" s="56" t="s">
        <v>1389</v>
      </c>
      <c r="AJ83" s="32"/>
    </row>
    <row r="84" spans="1:36" s="17" customFormat="1" ht="14" customHeight="1" x14ac:dyDescent="0.2">
      <c r="A84" s="56" t="s">
        <v>994</v>
      </c>
      <c r="B84" s="54"/>
      <c r="C84" s="54"/>
      <c r="D84" s="55">
        <v>283</v>
      </c>
      <c r="E84" s="54"/>
      <c r="F84" s="54"/>
      <c r="G84" s="53"/>
      <c r="H84" s="54"/>
      <c r="I84" s="54"/>
      <c r="J84" s="54"/>
      <c r="K84" s="54"/>
      <c r="L84" s="55">
        <v>-59.5</v>
      </c>
      <c r="M84" s="55">
        <v>357.5</v>
      </c>
      <c r="N84" s="52"/>
      <c r="O84" s="52"/>
      <c r="P84" s="54"/>
      <c r="Q84" s="54"/>
      <c r="R84" s="52">
        <v>290</v>
      </c>
      <c r="S84" s="55">
        <v>-25.673243737357001</v>
      </c>
      <c r="T84" s="55">
        <v>58.7061922213244</v>
      </c>
      <c r="U84" s="54">
        <v>47.499999999999901</v>
      </c>
      <c r="V84" s="54">
        <v>-33.299999999999997</v>
      </c>
      <c r="W84" s="54">
        <v>57.299999999999898</v>
      </c>
      <c r="X84" s="52" t="s">
        <v>1204</v>
      </c>
      <c r="Y84" s="56"/>
      <c r="Z84" s="56"/>
      <c r="AA84" s="52" t="b">
        <v>0</v>
      </c>
      <c r="AB84" s="52" t="s">
        <v>31</v>
      </c>
      <c r="AC84" s="49" t="s">
        <v>995</v>
      </c>
      <c r="AD84" s="52">
        <v>620</v>
      </c>
      <c r="AE84" s="52" t="s">
        <v>147</v>
      </c>
      <c r="AF84" s="56"/>
      <c r="AG84" s="49"/>
      <c r="AH84" s="56" t="s">
        <v>1389</v>
      </c>
      <c r="AJ84" s="32"/>
    </row>
    <row r="85" spans="1:36" s="12" customFormat="1" ht="14" customHeight="1" x14ac:dyDescent="0.2">
      <c r="A85" s="56" t="s">
        <v>992</v>
      </c>
      <c r="B85" s="54"/>
      <c r="C85" s="54"/>
      <c r="D85" s="55">
        <v>283</v>
      </c>
      <c r="E85" s="54"/>
      <c r="F85" s="54"/>
      <c r="G85" s="53"/>
      <c r="H85" s="54"/>
      <c r="I85" s="54"/>
      <c r="J85" s="54"/>
      <c r="K85" s="54"/>
      <c r="L85" s="55">
        <v>-80.599999999999994</v>
      </c>
      <c r="M85" s="55">
        <v>268.8</v>
      </c>
      <c r="N85" s="52"/>
      <c r="O85" s="52"/>
      <c r="P85" s="54"/>
      <c r="Q85" s="54"/>
      <c r="R85" s="52">
        <v>290</v>
      </c>
      <c r="S85" s="55">
        <v>-56.963983365273499</v>
      </c>
      <c r="T85" s="55">
        <v>64.606236719104402</v>
      </c>
      <c r="U85" s="54">
        <v>47.499999999999901</v>
      </c>
      <c r="V85" s="54">
        <v>-33.299999999999997</v>
      </c>
      <c r="W85" s="54">
        <v>57.299999999999898</v>
      </c>
      <c r="X85" s="52" t="s">
        <v>1204</v>
      </c>
      <c r="Y85" s="56"/>
      <c r="Z85" s="56"/>
      <c r="AA85" s="52" t="b">
        <v>0</v>
      </c>
      <c r="AB85" s="52" t="s">
        <v>31</v>
      </c>
      <c r="AC85" s="49" t="s">
        <v>993</v>
      </c>
      <c r="AD85" s="52"/>
      <c r="AE85" s="52" t="s">
        <v>147</v>
      </c>
      <c r="AF85" s="56"/>
      <c r="AG85" s="49"/>
      <c r="AH85" s="56" t="s">
        <v>1389</v>
      </c>
      <c r="AJ85" s="32"/>
    </row>
    <row r="86" spans="1:36" s="12" customFormat="1" ht="14" customHeight="1" x14ac:dyDescent="0.2">
      <c r="A86" s="56" t="s">
        <v>1066</v>
      </c>
      <c r="B86" s="54"/>
      <c r="C86" s="54"/>
      <c r="D86" s="55">
        <v>290</v>
      </c>
      <c r="E86" s="54"/>
      <c r="F86" s="54"/>
      <c r="G86" s="53"/>
      <c r="H86" s="54"/>
      <c r="I86" s="54"/>
      <c r="J86" s="54"/>
      <c r="K86" s="54"/>
      <c r="L86" s="55">
        <v>-73.099999999999994</v>
      </c>
      <c r="M86" s="55">
        <v>272.39999999999998</v>
      </c>
      <c r="N86" s="54"/>
      <c r="O86" s="54"/>
      <c r="P86" s="54"/>
      <c r="Q86" s="54"/>
      <c r="R86" s="52">
        <v>290</v>
      </c>
      <c r="S86" s="55">
        <v>-58.363839863331002</v>
      </c>
      <c r="T86" s="55">
        <v>50.725694083679599</v>
      </c>
      <c r="U86" s="54">
        <v>47.499999999999901</v>
      </c>
      <c r="V86" s="54">
        <v>-33.299999999999997</v>
      </c>
      <c r="W86" s="54">
        <v>57.299999999999898</v>
      </c>
      <c r="X86" s="52" t="s">
        <v>1202</v>
      </c>
      <c r="Y86" s="56"/>
      <c r="Z86" s="56"/>
      <c r="AA86" s="52" t="b">
        <v>0</v>
      </c>
      <c r="AB86" s="52" t="s">
        <v>31</v>
      </c>
      <c r="AC86" s="49" t="s">
        <v>993</v>
      </c>
      <c r="AD86" s="52"/>
      <c r="AE86" s="52" t="s">
        <v>147</v>
      </c>
      <c r="AF86" s="56"/>
      <c r="AG86" s="49"/>
      <c r="AH86" s="56" t="s">
        <v>1389</v>
      </c>
      <c r="AJ86" s="32"/>
    </row>
    <row r="87" spans="1:36" s="12" customFormat="1" ht="14" customHeight="1" x14ac:dyDescent="0.2">
      <c r="A87" s="56" t="s">
        <v>1065</v>
      </c>
      <c r="B87" s="54"/>
      <c r="C87" s="54"/>
      <c r="D87" s="55">
        <v>290</v>
      </c>
      <c r="E87" s="54"/>
      <c r="F87" s="54"/>
      <c r="G87" s="53"/>
      <c r="H87" s="54"/>
      <c r="I87" s="54"/>
      <c r="J87" s="54"/>
      <c r="K87" s="54"/>
      <c r="L87" s="55">
        <v>-76.8</v>
      </c>
      <c r="M87" s="55">
        <v>293.7</v>
      </c>
      <c r="N87" s="54"/>
      <c r="O87" s="54"/>
      <c r="P87" s="54"/>
      <c r="Q87" s="54"/>
      <c r="R87" s="52">
        <v>290</v>
      </c>
      <c r="S87" s="55">
        <v>-52.761872676881097</v>
      </c>
      <c r="T87" s="55">
        <v>56.902923011703002</v>
      </c>
      <c r="U87" s="54">
        <v>47.499999999999901</v>
      </c>
      <c r="V87" s="54">
        <v>-33.299999999999997</v>
      </c>
      <c r="W87" s="54">
        <v>57.299999999999898</v>
      </c>
      <c r="X87" s="52" t="s">
        <v>1204</v>
      </c>
      <c r="Y87" s="56"/>
      <c r="Z87" s="56"/>
      <c r="AA87" s="52" t="b">
        <v>0</v>
      </c>
      <c r="AB87" s="52" t="s">
        <v>31</v>
      </c>
      <c r="AC87" s="49" t="s">
        <v>993</v>
      </c>
      <c r="AD87" s="52"/>
      <c r="AE87" s="52" t="s">
        <v>147</v>
      </c>
      <c r="AF87" s="56"/>
      <c r="AG87" s="49"/>
      <c r="AH87" s="56" t="s">
        <v>1389</v>
      </c>
      <c r="AJ87" s="32"/>
    </row>
    <row r="88" spans="1:36" s="17" customFormat="1" ht="14" customHeight="1" x14ac:dyDescent="0.2">
      <c r="A88" s="56" t="s">
        <v>1151</v>
      </c>
      <c r="B88" s="52"/>
      <c r="C88" s="52"/>
      <c r="D88" s="55">
        <v>300</v>
      </c>
      <c r="E88" s="54"/>
      <c r="F88" s="54"/>
      <c r="G88" s="58"/>
      <c r="H88" s="54"/>
      <c r="I88" s="54"/>
      <c r="J88" s="54"/>
      <c r="K88" s="54"/>
      <c r="L88" s="55">
        <v>-66</v>
      </c>
      <c r="M88" s="55">
        <v>348</v>
      </c>
      <c r="N88" s="54"/>
      <c r="O88" s="54"/>
      <c r="P88" s="54"/>
      <c r="Q88" s="73"/>
      <c r="R88" s="52">
        <v>290</v>
      </c>
      <c r="S88" s="55">
        <v>-33.440030976409901</v>
      </c>
      <c r="T88" s="55">
        <v>57.841664891235801</v>
      </c>
      <c r="U88" s="54">
        <v>47.499999999999901</v>
      </c>
      <c r="V88" s="54">
        <v>-33.299999999999997</v>
      </c>
      <c r="W88" s="54">
        <v>57.299999999999898</v>
      </c>
      <c r="X88" s="52" t="s">
        <v>1202</v>
      </c>
      <c r="Y88" s="56"/>
      <c r="Z88" s="56"/>
      <c r="AA88" s="52" t="b">
        <v>0</v>
      </c>
      <c r="AB88" s="52" t="s">
        <v>31</v>
      </c>
      <c r="AC88" s="49" t="s">
        <v>1152</v>
      </c>
      <c r="AD88" s="52">
        <v>178</v>
      </c>
      <c r="AE88" s="52" t="s">
        <v>147</v>
      </c>
      <c r="AF88" s="56"/>
      <c r="AG88" s="49"/>
      <c r="AH88" s="56" t="s">
        <v>1391</v>
      </c>
      <c r="AJ88" s="32"/>
    </row>
    <row r="89" spans="1:36" s="12" customFormat="1" ht="14" customHeight="1" x14ac:dyDescent="0.15">
      <c r="A89" s="56" t="s">
        <v>1183</v>
      </c>
      <c r="B89" s="52">
        <v>298.89999999999998</v>
      </c>
      <c r="C89" s="52">
        <v>323.39999999999998</v>
      </c>
      <c r="D89" s="55">
        <f>(B89+C89)/2</f>
        <v>311.14999999999998</v>
      </c>
      <c r="E89" s="54"/>
      <c r="F89" s="54"/>
      <c r="G89" s="58"/>
      <c r="H89" s="54"/>
      <c r="I89" s="54"/>
      <c r="J89" s="54"/>
      <c r="K89" s="54"/>
      <c r="L89" s="55">
        <v>-49</v>
      </c>
      <c r="M89" s="55">
        <v>343</v>
      </c>
      <c r="N89" s="54"/>
      <c r="O89" s="54"/>
      <c r="P89" s="61"/>
      <c r="Q89" s="61"/>
      <c r="R89" s="52">
        <v>290</v>
      </c>
      <c r="S89" s="55">
        <v>-20.3315961488806</v>
      </c>
      <c r="T89" s="55">
        <v>45.306023890642301</v>
      </c>
      <c r="U89" s="54">
        <v>47.499999999999901</v>
      </c>
      <c r="V89" s="54">
        <v>-33.299999999999997</v>
      </c>
      <c r="W89" s="54">
        <v>57.299999999999898</v>
      </c>
      <c r="X89" s="52" t="s">
        <v>1204</v>
      </c>
      <c r="Y89" s="56"/>
      <c r="Z89" s="56"/>
      <c r="AA89" s="52" t="b">
        <v>0</v>
      </c>
      <c r="AB89" s="52" t="s">
        <v>31</v>
      </c>
      <c r="AC89" s="49" t="s">
        <v>1184</v>
      </c>
      <c r="AD89" s="52">
        <v>1144</v>
      </c>
      <c r="AE89" s="52" t="s">
        <v>147</v>
      </c>
      <c r="AF89" s="56" t="s">
        <v>1177</v>
      </c>
      <c r="AG89" s="49"/>
      <c r="AH89" s="56" t="s">
        <v>1391</v>
      </c>
      <c r="AJ89" s="32"/>
    </row>
    <row r="90" spans="1:36" s="12" customFormat="1" ht="14" customHeight="1" x14ac:dyDescent="0.2">
      <c r="A90" s="49" t="s">
        <v>1180</v>
      </c>
      <c r="B90" s="52">
        <v>298.89999999999998</v>
      </c>
      <c r="C90" s="52">
        <v>323.39999999999998</v>
      </c>
      <c r="D90" s="55">
        <f>(B90+C90)/2</f>
        <v>311.14999999999998</v>
      </c>
      <c r="E90" s="54">
        <v>-24.5</v>
      </c>
      <c r="F90" s="54">
        <v>290.7</v>
      </c>
      <c r="G90" s="58">
        <v>10</v>
      </c>
      <c r="H90" s="54">
        <v>136.9</v>
      </c>
      <c r="I90" s="54">
        <v>58.8</v>
      </c>
      <c r="J90" s="54">
        <v>72.400000000000006</v>
      </c>
      <c r="K90" s="54">
        <v>5.7</v>
      </c>
      <c r="L90" s="55">
        <v>-51</v>
      </c>
      <c r="M90" s="55">
        <v>347</v>
      </c>
      <c r="N90" s="54"/>
      <c r="O90" s="54"/>
      <c r="P90" s="54">
        <v>45.822710428500145</v>
      </c>
      <c r="Q90" s="73">
        <v>7.2124727912572748</v>
      </c>
      <c r="R90" s="52">
        <v>290</v>
      </c>
      <c r="S90" s="55">
        <v>-20.779569828547402</v>
      </c>
      <c r="T90" s="55">
        <v>48.751120273867798</v>
      </c>
      <c r="U90" s="54">
        <v>47.499999999999901</v>
      </c>
      <c r="V90" s="54">
        <v>-33.299999999999997</v>
      </c>
      <c r="W90" s="54">
        <v>57.299999999999898</v>
      </c>
      <c r="X90" s="52" t="s">
        <v>1202</v>
      </c>
      <c r="Y90" s="56"/>
      <c r="Z90" s="56"/>
      <c r="AA90" s="52" t="b">
        <v>1</v>
      </c>
      <c r="AB90" s="52" t="s">
        <v>31</v>
      </c>
      <c r="AC90" s="49" t="s">
        <v>1181</v>
      </c>
      <c r="AD90" s="52">
        <v>1420</v>
      </c>
      <c r="AE90" s="52" t="s">
        <v>147</v>
      </c>
      <c r="AF90" s="56" t="s">
        <v>1182</v>
      </c>
      <c r="AG90" s="49"/>
      <c r="AH90" s="56" t="s">
        <v>1416</v>
      </c>
      <c r="AJ90" s="32"/>
    </row>
    <row r="91" spans="1:36" s="12" customFormat="1" ht="14" customHeight="1" x14ac:dyDescent="0.2">
      <c r="A91" s="56" t="s">
        <v>1185</v>
      </c>
      <c r="B91" s="52">
        <v>298.89999999999998</v>
      </c>
      <c r="C91" s="52">
        <v>323.39999999999998</v>
      </c>
      <c r="D91" s="55">
        <f>(B91+C91)/2</f>
        <v>311.14999999999998</v>
      </c>
      <c r="E91" s="54">
        <v>-24.4</v>
      </c>
      <c r="F91" s="54">
        <v>291.5</v>
      </c>
      <c r="G91" s="58">
        <v>10</v>
      </c>
      <c r="H91" s="54">
        <v>143.80000000000001</v>
      </c>
      <c r="I91" s="54">
        <v>56.1</v>
      </c>
      <c r="J91" s="54">
        <v>26.3</v>
      </c>
      <c r="K91" s="54">
        <v>9.6</v>
      </c>
      <c r="L91" s="55">
        <v>-57</v>
      </c>
      <c r="M91" s="55">
        <v>350</v>
      </c>
      <c r="N91" s="54"/>
      <c r="O91" s="54"/>
      <c r="P91" s="54">
        <v>18.642265668929156</v>
      </c>
      <c r="Q91" s="73">
        <v>11.488242353739439</v>
      </c>
      <c r="R91" s="52">
        <v>290</v>
      </c>
      <c r="S91" s="55">
        <v>-25.191915998575801</v>
      </c>
      <c r="T91" s="55">
        <v>53.5647781844498</v>
      </c>
      <c r="U91" s="54">
        <v>47.499999999999901</v>
      </c>
      <c r="V91" s="54">
        <v>-33.299999999999997</v>
      </c>
      <c r="W91" s="54">
        <v>57.299999999999898</v>
      </c>
      <c r="X91" s="52" t="s">
        <v>1202</v>
      </c>
      <c r="Y91" s="56"/>
      <c r="Z91" s="56"/>
      <c r="AA91" s="52" t="b">
        <v>1</v>
      </c>
      <c r="AB91" s="52" t="s">
        <v>31</v>
      </c>
      <c r="AC91" s="49" t="s">
        <v>1181</v>
      </c>
      <c r="AD91" s="52">
        <v>1420</v>
      </c>
      <c r="AE91" s="52" t="s">
        <v>147</v>
      </c>
      <c r="AF91" s="56" t="s">
        <v>1182</v>
      </c>
      <c r="AG91" s="49"/>
      <c r="AH91" s="56" t="s">
        <v>1415</v>
      </c>
      <c r="AJ91" s="32"/>
    </row>
    <row r="92" spans="1:36" s="12" customFormat="1" ht="14" customHeight="1" x14ac:dyDescent="0.2">
      <c r="A92" s="49" t="s">
        <v>129</v>
      </c>
      <c r="B92" s="50">
        <v>3.4000000000000002E-2</v>
      </c>
      <c r="C92" s="50">
        <v>7.86</v>
      </c>
      <c r="D92" s="51">
        <f>AVERAGE(B92,C92)</f>
        <v>3.9470000000000001</v>
      </c>
      <c r="E92" s="52">
        <v>-46.99</v>
      </c>
      <c r="F92" s="52">
        <v>288.88</v>
      </c>
      <c r="G92" s="53">
        <v>32</v>
      </c>
      <c r="H92" s="54"/>
      <c r="I92" s="54"/>
      <c r="J92" s="54"/>
      <c r="K92" s="54"/>
      <c r="L92" s="55">
        <v>-85.453701000135197</v>
      </c>
      <c r="M92" s="55">
        <v>269.77673695837922</v>
      </c>
      <c r="N92" s="54">
        <v>5.5368663175124597</v>
      </c>
      <c r="O92" s="54">
        <v>11.907045738052201</v>
      </c>
      <c r="P92" s="54"/>
      <c r="Q92" s="54"/>
      <c r="R92" s="52">
        <v>291</v>
      </c>
      <c r="S92" s="55">
        <v>-85.868505868409898</v>
      </c>
      <c r="T92" s="55">
        <v>275.74129740820098</v>
      </c>
      <c r="U92" s="54">
        <v>60.984228163905797</v>
      </c>
      <c r="V92" s="54">
        <v>-39.450499180960001</v>
      </c>
      <c r="W92" s="54">
        <v>1.1534972000933099</v>
      </c>
      <c r="X92" s="52" t="s">
        <v>1202</v>
      </c>
      <c r="Y92" s="52"/>
      <c r="Z92" s="52"/>
      <c r="AA92" s="52" t="b">
        <v>0</v>
      </c>
      <c r="AB92" s="52">
        <v>0</v>
      </c>
      <c r="AC92" s="56" t="s">
        <v>130</v>
      </c>
      <c r="AD92" s="52"/>
      <c r="AE92" s="52" t="s">
        <v>32</v>
      </c>
      <c r="AF92" s="56"/>
      <c r="AG92" s="49"/>
      <c r="AH92" s="56"/>
      <c r="AJ92" s="32"/>
    </row>
    <row r="93" spans="1:36" s="12" customFormat="1" ht="14" customHeight="1" x14ac:dyDescent="0.2">
      <c r="A93" s="10" t="s">
        <v>132</v>
      </c>
      <c r="B93" s="28">
        <v>0.16500000000000001</v>
      </c>
      <c r="C93" s="28">
        <v>8.67</v>
      </c>
      <c r="D93" s="29">
        <f>AVERAGE(B93,C93)</f>
        <v>4.4174999999999995</v>
      </c>
      <c r="E93" s="7">
        <v>-51.21</v>
      </c>
      <c r="F93" s="7">
        <v>289.37</v>
      </c>
      <c r="G93" s="34">
        <v>37</v>
      </c>
      <c r="H93" s="10"/>
      <c r="I93" s="10"/>
      <c r="J93" s="10"/>
      <c r="K93" s="10"/>
      <c r="L93" s="13">
        <v>-86.617198218513096</v>
      </c>
      <c r="M93" s="13">
        <v>344.60640195412702</v>
      </c>
      <c r="N93" s="9">
        <v>12.971518263337501</v>
      </c>
      <c r="O93" s="9">
        <v>6.8010590416568002</v>
      </c>
      <c r="P93" s="9"/>
      <c r="Q93" s="9"/>
      <c r="R93" s="7">
        <v>291</v>
      </c>
      <c r="S93" s="13">
        <v>-86.310228821150901</v>
      </c>
      <c r="T93" s="13">
        <v>354.63734588076699</v>
      </c>
      <c r="U93" s="9">
        <v>61.031019295105402</v>
      </c>
      <c r="V93" s="9">
        <v>-39.508835890685098</v>
      </c>
      <c r="W93" s="9">
        <v>1.2980411540883201</v>
      </c>
      <c r="X93" s="7" t="s">
        <v>1202</v>
      </c>
      <c r="Y93" s="10"/>
      <c r="Z93" s="7"/>
      <c r="AA93" s="10" t="b">
        <v>1</v>
      </c>
      <c r="AB93" s="7">
        <v>0</v>
      </c>
      <c r="AC93" s="10" t="s">
        <v>133</v>
      </c>
      <c r="AD93" s="7"/>
      <c r="AE93" s="7" t="s">
        <v>32</v>
      </c>
      <c r="AF93" s="10"/>
      <c r="AG93" s="14"/>
      <c r="AH93" s="10"/>
      <c r="AJ93" s="32"/>
    </row>
    <row r="94" spans="1:36" s="12" customFormat="1" ht="14" customHeight="1" x14ac:dyDescent="0.2">
      <c r="A94" s="10" t="s">
        <v>273</v>
      </c>
      <c r="B94" s="9">
        <v>42</v>
      </c>
      <c r="C94" s="9">
        <v>56</v>
      </c>
      <c r="D94" s="13">
        <v>49</v>
      </c>
      <c r="E94" s="9">
        <v>-42.6</v>
      </c>
      <c r="F94" s="9">
        <v>290</v>
      </c>
      <c r="G94" s="34">
        <v>36</v>
      </c>
      <c r="H94" s="9">
        <v>156.6</v>
      </c>
      <c r="I94" s="9">
        <v>66.3</v>
      </c>
      <c r="J94" s="9">
        <v>18</v>
      </c>
      <c r="K94" s="9">
        <v>5.7</v>
      </c>
      <c r="L94" s="13">
        <v>-81</v>
      </c>
      <c r="M94" s="6">
        <v>337.4</v>
      </c>
      <c r="N94" s="9">
        <v>18</v>
      </c>
      <c r="O94" s="9">
        <v>5.7</v>
      </c>
      <c r="P94" s="9" t="s">
        <v>1203</v>
      </c>
      <c r="Q94" s="9" t="s">
        <v>1203</v>
      </c>
      <c r="R94" s="7">
        <v>291</v>
      </c>
      <c r="S94" s="13">
        <v>-74.186076353968801</v>
      </c>
      <c r="T94" s="13">
        <v>34.094942593940502</v>
      </c>
      <c r="U94" s="9">
        <v>57.854210130683697</v>
      </c>
      <c r="V94" s="9">
        <v>-31.1635801386522</v>
      </c>
      <c r="W94" s="9">
        <v>20.1009943149128</v>
      </c>
      <c r="X94" s="7" t="s">
        <v>1202</v>
      </c>
      <c r="Y94" s="10"/>
      <c r="Z94" s="10"/>
      <c r="AA94" s="10" t="b">
        <v>1</v>
      </c>
      <c r="AB94" s="7">
        <v>0</v>
      </c>
      <c r="AC94" s="14" t="s">
        <v>274</v>
      </c>
      <c r="AD94" s="7"/>
      <c r="AE94" s="7" t="s">
        <v>147</v>
      </c>
      <c r="AF94" s="10" t="s">
        <v>275</v>
      </c>
      <c r="AG94" s="14" t="s">
        <v>1288</v>
      </c>
      <c r="AH94" s="10"/>
      <c r="AJ94" s="32"/>
    </row>
    <row r="95" spans="1:36" s="12" customFormat="1" ht="14" customHeight="1" x14ac:dyDescent="0.2">
      <c r="A95" s="10" t="s">
        <v>382</v>
      </c>
      <c r="B95" s="9">
        <v>64</v>
      </c>
      <c r="C95" s="9">
        <v>79</v>
      </c>
      <c r="D95" s="13">
        <v>71.5</v>
      </c>
      <c r="E95" s="9">
        <v>-45.3</v>
      </c>
      <c r="F95" s="9">
        <v>288.7</v>
      </c>
      <c r="G95" s="34">
        <v>18</v>
      </c>
      <c r="H95" s="9">
        <v>163.80000000000001</v>
      </c>
      <c r="I95" s="9">
        <v>65.099999999999994</v>
      </c>
      <c r="J95" s="9">
        <v>66.8</v>
      </c>
      <c r="K95" s="9">
        <v>4.3</v>
      </c>
      <c r="L95" s="13">
        <v>-78.7</v>
      </c>
      <c r="M95" s="13">
        <v>358.4</v>
      </c>
      <c r="N95" s="9">
        <v>31.55</v>
      </c>
      <c r="O95" s="9">
        <v>6.3</v>
      </c>
      <c r="P95" s="9" t="s">
        <v>1203</v>
      </c>
      <c r="Q95" s="9" t="s">
        <v>1203</v>
      </c>
      <c r="R95" s="7">
        <v>291</v>
      </c>
      <c r="S95" s="13">
        <v>-68.833932289825398</v>
      </c>
      <c r="T95" s="13">
        <v>45.366842602660398</v>
      </c>
      <c r="U95" s="9">
        <v>63.438256948306901</v>
      </c>
      <c r="V95" s="9">
        <v>-33.393609371017703</v>
      </c>
      <c r="W95" s="9">
        <v>26.456312695686201</v>
      </c>
      <c r="X95" s="7" t="s">
        <v>1202</v>
      </c>
      <c r="Y95" s="10"/>
      <c r="Z95" s="10"/>
      <c r="AA95" s="10" t="b">
        <v>1</v>
      </c>
      <c r="AB95" s="7">
        <v>0</v>
      </c>
      <c r="AC95" s="14" t="s">
        <v>383</v>
      </c>
      <c r="AD95" s="7">
        <v>2374</v>
      </c>
      <c r="AE95" s="7" t="s">
        <v>147</v>
      </c>
      <c r="AF95" s="10" t="s">
        <v>384</v>
      </c>
      <c r="AG95" s="14"/>
      <c r="AH95" s="10"/>
      <c r="AJ95" s="32"/>
    </row>
    <row r="96" spans="1:36" s="12" customFormat="1" ht="14" customHeight="1" x14ac:dyDescent="0.2">
      <c r="A96" s="49" t="s">
        <v>441</v>
      </c>
      <c r="B96" s="54">
        <v>85.1</v>
      </c>
      <c r="C96" s="54">
        <v>97.9</v>
      </c>
      <c r="D96" s="55">
        <v>91.5</v>
      </c>
      <c r="E96" s="54">
        <v>45.1</v>
      </c>
      <c r="F96" s="54">
        <v>290.5</v>
      </c>
      <c r="G96" s="53">
        <v>9</v>
      </c>
      <c r="H96" s="54">
        <v>355.6</v>
      </c>
      <c r="I96" s="54">
        <v>-62.8</v>
      </c>
      <c r="J96" s="54">
        <v>659</v>
      </c>
      <c r="K96" s="54">
        <v>2</v>
      </c>
      <c r="L96" s="55">
        <v>-86.8</v>
      </c>
      <c r="M96" s="55">
        <v>35.200000000000003</v>
      </c>
      <c r="N96" s="54">
        <v>346</v>
      </c>
      <c r="O96" s="54">
        <v>2.8</v>
      </c>
      <c r="P96" s="71" t="s">
        <v>1203</v>
      </c>
      <c r="Q96" s="71" t="s">
        <v>1203</v>
      </c>
      <c r="R96" s="52">
        <v>291</v>
      </c>
      <c r="S96" s="55">
        <v>-68.4494626147562</v>
      </c>
      <c r="T96" s="55">
        <v>70.246932593716494</v>
      </c>
      <c r="U96" s="54">
        <v>60.895679386026003</v>
      </c>
      <c r="V96" s="54">
        <v>-36.385696310658503</v>
      </c>
      <c r="W96" s="54">
        <v>38.2759216928307</v>
      </c>
      <c r="X96" s="52" t="s">
        <v>1204</v>
      </c>
      <c r="Y96" s="52"/>
      <c r="Z96" s="52"/>
      <c r="AA96" s="56" t="b">
        <v>0</v>
      </c>
      <c r="AB96" s="52" t="s">
        <v>165</v>
      </c>
      <c r="AC96" s="49" t="s">
        <v>442</v>
      </c>
      <c r="AD96" s="52"/>
      <c r="AE96" s="52" t="s">
        <v>147</v>
      </c>
      <c r="AF96" s="56" t="s">
        <v>443</v>
      </c>
      <c r="AG96" s="49" t="s">
        <v>1381</v>
      </c>
      <c r="AH96" s="56"/>
      <c r="AJ96" s="32"/>
    </row>
    <row r="97" spans="1:36" s="12" customFormat="1" ht="14" customHeight="1" x14ac:dyDescent="0.2">
      <c r="A97" s="56" t="s">
        <v>489</v>
      </c>
      <c r="B97" s="54"/>
      <c r="C97" s="54"/>
      <c r="D97" s="55">
        <v>116</v>
      </c>
      <c r="E97" s="54"/>
      <c r="F97" s="54"/>
      <c r="G97" s="53"/>
      <c r="H97" s="54"/>
      <c r="I97" s="54"/>
      <c r="J97" s="54"/>
      <c r="K97" s="54"/>
      <c r="L97" s="55">
        <v>-87</v>
      </c>
      <c r="M97" s="55">
        <v>159</v>
      </c>
      <c r="N97" s="54"/>
      <c r="O97" s="54"/>
      <c r="P97" s="61"/>
      <c r="Q97" s="64"/>
      <c r="R97" s="52">
        <v>291</v>
      </c>
      <c r="S97" s="55">
        <v>-63.848918572306602</v>
      </c>
      <c r="T97" s="55">
        <v>79.9841923349871</v>
      </c>
      <c r="U97" s="54">
        <v>55.508362940771299</v>
      </c>
      <c r="V97" s="54">
        <v>-36.623233807631202</v>
      </c>
      <c r="W97" s="54">
        <v>50.287763283498101</v>
      </c>
      <c r="X97" s="52" t="s">
        <v>1204</v>
      </c>
      <c r="Y97" s="56"/>
      <c r="Z97" s="56"/>
      <c r="AA97" s="52" t="b">
        <v>0</v>
      </c>
      <c r="AB97" s="52" t="s">
        <v>31</v>
      </c>
      <c r="AC97" s="56" t="s">
        <v>490</v>
      </c>
      <c r="AD97" s="52"/>
      <c r="AE97" s="52" t="s">
        <v>147</v>
      </c>
      <c r="AF97" s="56"/>
      <c r="AG97" s="49" t="s">
        <v>491</v>
      </c>
      <c r="AH97" s="56"/>
      <c r="AJ97" s="32"/>
    </row>
    <row r="98" spans="1:36" s="17" customFormat="1" ht="14" customHeight="1" x14ac:dyDescent="0.2">
      <c r="A98" s="10" t="s">
        <v>582</v>
      </c>
      <c r="B98" s="9">
        <v>153</v>
      </c>
      <c r="C98" s="9">
        <v>157</v>
      </c>
      <c r="D98" s="13">
        <v>155</v>
      </c>
      <c r="E98" s="9">
        <v>-47.43</v>
      </c>
      <c r="F98" s="9">
        <v>-71.77</v>
      </c>
      <c r="G98" s="6">
        <v>16</v>
      </c>
      <c r="H98" s="9">
        <v>11.3</v>
      </c>
      <c r="I98" s="9">
        <v>-61</v>
      </c>
      <c r="J98" s="9">
        <v>47</v>
      </c>
      <c r="K98" s="9">
        <v>5.5</v>
      </c>
      <c r="L98" s="13">
        <v>-81</v>
      </c>
      <c r="M98" s="13">
        <v>172</v>
      </c>
      <c r="N98" s="9">
        <v>24.5</v>
      </c>
      <c r="O98" s="9">
        <v>7.6</v>
      </c>
      <c r="P98" s="9" t="s">
        <v>1203</v>
      </c>
      <c r="Q98" s="9" t="s">
        <v>1203</v>
      </c>
      <c r="R98" s="7">
        <v>291</v>
      </c>
      <c r="S98" s="13">
        <v>-57.907598093453899</v>
      </c>
      <c r="T98" s="13">
        <v>90.396486472984506</v>
      </c>
      <c r="U98" s="9">
        <v>47.5</v>
      </c>
      <c r="V98" s="9">
        <v>-33.299999999999997</v>
      </c>
      <c r="W98" s="9">
        <v>58</v>
      </c>
      <c r="X98" s="7" t="s">
        <v>1202</v>
      </c>
      <c r="Y98" s="10"/>
      <c r="Z98" s="10"/>
      <c r="AA98" s="7" t="b">
        <v>1</v>
      </c>
      <c r="AB98" s="7">
        <v>0</v>
      </c>
      <c r="AC98" s="14" t="s">
        <v>583</v>
      </c>
      <c r="AD98" s="30">
        <v>3535</v>
      </c>
      <c r="AE98" s="7" t="s">
        <v>147</v>
      </c>
      <c r="AF98" s="10" t="s">
        <v>584</v>
      </c>
      <c r="AG98" s="14"/>
      <c r="AH98" s="10"/>
      <c r="AJ98" s="32"/>
    </row>
    <row r="99" spans="1:36" s="17" customFormat="1" ht="14" customHeight="1" x14ac:dyDescent="0.2">
      <c r="A99" s="10" t="s">
        <v>585</v>
      </c>
      <c r="B99" s="9">
        <f>155-3.5</f>
        <v>151.5</v>
      </c>
      <c r="C99" s="9">
        <f>155+3.5</f>
        <v>158.5</v>
      </c>
      <c r="D99" s="13">
        <v>155</v>
      </c>
      <c r="E99" s="9">
        <v>-47.2</v>
      </c>
      <c r="F99" s="9">
        <v>-69</v>
      </c>
      <c r="G99" s="34">
        <v>23</v>
      </c>
      <c r="H99" s="9"/>
      <c r="I99" s="9"/>
      <c r="J99" s="9"/>
      <c r="K99" s="9"/>
      <c r="L99" s="13">
        <v>-84.3</v>
      </c>
      <c r="M99" s="13">
        <v>191.3</v>
      </c>
      <c r="N99" s="9">
        <v>13.3</v>
      </c>
      <c r="O99" s="9">
        <v>8.6</v>
      </c>
      <c r="P99" s="9" t="s">
        <v>1203</v>
      </c>
      <c r="Q99" s="9" t="s">
        <v>1203</v>
      </c>
      <c r="R99" s="7">
        <v>291</v>
      </c>
      <c r="S99" s="13">
        <v>-56.937354570568601</v>
      </c>
      <c r="T99" s="13">
        <v>83.036665966363699</v>
      </c>
      <c r="U99" s="9">
        <v>47.5</v>
      </c>
      <c r="V99" s="9">
        <v>-33.299999999999997</v>
      </c>
      <c r="W99" s="9">
        <v>58</v>
      </c>
      <c r="X99" s="7" t="s">
        <v>1202</v>
      </c>
      <c r="Y99" s="10"/>
      <c r="Z99" s="9"/>
      <c r="AA99" s="7" t="b">
        <v>1</v>
      </c>
      <c r="AB99" s="7">
        <v>0</v>
      </c>
      <c r="AC99" s="10" t="s">
        <v>586</v>
      </c>
      <c r="AD99" s="7"/>
      <c r="AE99" s="7" t="s">
        <v>1369</v>
      </c>
      <c r="AF99" s="10" t="s">
        <v>587</v>
      </c>
      <c r="AG99" s="14"/>
      <c r="AH99" s="10"/>
      <c r="AJ99" s="32"/>
    </row>
    <row r="100" spans="1:36" s="12" customFormat="1" ht="14" customHeight="1" x14ac:dyDescent="0.2">
      <c r="A100" s="10" t="s">
        <v>591</v>
      </c>
      <c r="B100" s="7">
        <v>156.69999999999999</v>
      </c>
      <c r="C100" s="7">
        <v>158.1</v>
      </c>
      <c r="D100" s="6">
        <v>157.4</v>
      </c>
      <c r="E100" s="7">
        <v>-47.8</v>
      </c>
      <c r="F100" s="7">
        <f>360-68.8</f>
        <v>291.2</v>
      </c>
      <c r="G100" s="6">
        <v>10</v>
      </c>
      <c r="H100" s="9">
        <v>7.8</v>
      </c>
      <c r="I100" s="9">
        <v>-62.2</v>
      </c>
      <c r="J100" s="9">
        <v>27</v>
      </c>
      <c r="K100" s="9">
        <v>9.4</v>
      </c>
      <c r="L100" s="6">
        <v>-84.1</v>
      </c>
      <c r="M100" s="6">
        <v>179.2</v>
      </c>
      <c r="N100" s="7">
        <v>13.6</v>
      </c>
      <c r="O100" s="7">
        <v>13.6</v>
      </c>
      <c r="P100" s="9" t="s">
        <v>1203</v>
      </c>
      <c r="Q100" s="9" t="s">
        <v>1203</v>
      </c>
      <c r="R100" s="7">
        <v>291</v>
      </c>
      <c r="S100" s="13">
        <v>-56.4316234868339</v>
      </c>
      <c r="T100" s="13">
        <v>85.091406295985493</v>
      </c>
      <c r="U100" s="9">
        <v>47.5</v>
      </c>
      <c r="V100" s="9">
        <v>-33.299999999999997</v>
      </c>
      <c r="W100" s="9">
        <v>58</v>
      </c>
      <c r="X100" s="7" t="s">
        <v>1202</v>
      </c>
      <c r="Y100" s="7"/>
      <c r="Z100" s="10"/>
      <c r="AA100" s="7" t="b">
        <v>1</v>
      </c>
      <c r="AB100" s="7">
        <v>0</v>
      </c>
      <c r="AC100" s="14" t="s">
        <v>592</v>
      </c>
      <c r="AD100" s="7"/>
      <c r="AE100" s="7" t="s">
        <v>1369</v>
      </c>
      <c r="AF100" s="10" t="s">
        <v>593</v>
      </c>
      <c r="AG100" s="14"/>
      <c r="AH100" s="10"/>
      <c r="AJ100" s="32"/>
    </row>
    <row r="101" spans="1:36" s="12" customFormat="1" ht="14" customHeight="1" x14ac:dyDescent="0.2">
      <c r="A101" s="10" t="s">
        <v>621</v>
      </c>
      <c r="B101" s="9">
        <v>166</v>
      </c>
      <c r="C101" s="9">
        <v>170</v>
      </c>
      <c r="D101" s="13">
        <v>168</v>
      </c>
      <c r="E101" s="9">
        <v>-48</v>
      </c>
      <c r="F101" s="7">
        <f>360-67.4</f>
        <v>292.60000000000002</v>
      </c>
      <c r="G101" s="6">
        <v>13</v>
      </c>
      <c r="H101" s="7"/>
      <c r="I101" s="7"/>
      <c r="J101" s="7"/>
      <c r="K101" s="7"/>
      <c r="L101" s="6">
        <v>-81.2</v>
      </c>
      <c r="M101" s="6">
        <v>207.7</v>
      </c>
      <c r="N101" s="7">
        <v>10.3</v>
      </c>
      <c r="O101" s="7">
        <v>13.5</v>
      </c>
      <c r="P101" s="9" t="s">
        <v>1203</v>
      </c>
      <c r="Q101" s="9" t="s">
        <v>1203</v>
      </c>
      <c r="R101" s="7">
        <v>291</v>
      </c>
      <c r="S101" s="13">
        <v>-59.665203825989501</v>
      </c>
      <c r="T101" s="13">
        <v>81.361313693941298</v>
      </c>
      <c r="U101" s="9">
        <v>47.499999999999901</v>
      </c>
      <c r="V101" s="9">
        <v>-33.299999999999997</v>
      </c>
      <c r="W101" s="9">
        <v>59.3333333333333</v>
      </c>
      <c r="X101" s="7" t="s">
        <v>1202</v>
      </c>
      <c r="Y101" s="7"/>
      <c r="Z101" s="7"/>
      <c r="AA101" s="7" t="b">
        <v>1</v>
      </c>
      <c r="AB101" s="7">
        <v>0</v>
      </c>
      <c r="AC101" s="14" t="s">
        <v>622</v>
      </c>
      <c r="AD101" s="7"/>
      <c r="AE101" s="7" t="s">
        <v>1369</v>
      </c>
      <c r="AF101" s="10" t="s">
        <v>623</v>
      </c>
      <c r="AG101" s="14" t="s">
        <v>1230</v>
      </c>
      <c r="AH101" s="10"/>
      <c r="AJ101" s="32"/>
    </row>
    <row r="102" spans="1:36" s="12" customFormat="1" ht="14" customHeight="1" x14ac:dyDescent="0.2">
      <c r="A102" s="56" t="s">
        <v>624</v>
      </c>
      <c r="B102" s="54">
        <v>161.53</v>
      </c>
      <c r="C102" s="54">
        <v>174.7</v>
      </c>
      <c r="D102" s="55">
        <f>(B102+C102)/2</f>
        <v>168.11500000000001</v>
      </c>
      <c r="E102" s="54">
        <v>-48.17</v>
      </c>
      <c r="F102" s="54">
        <v>-68.83</v>
      </c>
      <c r="G102" s="58">
        <v>54</v>
      </c>
      <c r="H102" s="54">
        <v>9.3000000000000007</v>
      </c>
      <c r="I102" s="54">
        <v>-62.9</v>
      </c>
      <c r="J102" s="54">
        <v>16.399999999999999</v>
      </c>
      <c r="K102" s="54">
        <v>4.9000000000000004</v>
      </c>
      <c r="L102" s="55">
        <v>-85</v>
      </c>
      <c r="M102" s="55">
        <v>197</v>
      </c>
      <c r="N102" s="54">
        <v>11.4</v>
      </c>
      <c r="O102" s="54">
        <v>6</v>
      </c>
      <c r="P102" s="54" t="s">
        <v>1203</v>
      </c>
      <c r="Q102" s="54" t="s">
        <v>1203</v>
      </c>
      <c r="R102" s="52">
        <v>291</v>
      </c>
      <c r="S102" s="55">
        <v>-55.675522929072002</v>
      </c>
      <c r="T102" s="55">
        <v>82.065727199580806</v>
      </c>
      <c r="U102" s="54">
        <v>47.499999999999901</v>
      </c>
      <c r="V102" s="54">
        <v>-33.299999999999997</v>
      </c>
      <c r="W102" s="54">
        <v>59.352499999999999</v>
      </c>
      <c r="X102" s="52" t="s">
        <v>1202</v>
      </c>
      <c r="Y102" s="56"/>
      <c r="Z102" s="56"/>
      <c r="AA102" s="52" t="b">
        <v>1</v>
      </c>
      <c r="AB102" s="52" t="s">
        <v>31</v>
      </c>
      <c r="AC102" s="49" t="s">
        <v>625</v>
      </c>
      <c r="AD102" s="52">
        <v>133</v>
      </c>
      <c r="AE102" s="52" t="s">
        <v>147</v>
      </c>
      <c r="AF102" s="56" t="s">
        <v>1425</v>
      </c>
      <c r="AG102" s="49" t="s">
        <v>1332</v>
      </c>
      <c r="AH102" s="56"/>
      <c r="AJ102" s="32"/>
    </row>
    <row r="103" spans="1:36" s="12" customFormat="1" ht="14" customHeight="1" x14ac:dyDescent="0.2">
      <c r="A103" s="10" t="s">
        <v>650</v>
      </c>
      <c r="B103" s="9">
        <v>177</v>
      </c>
      <c r="C103" s="9">
        <v>185</v>
      </c>
      <c r="D103" s="13">
        <v>181</v>
      </c>
      <c r="E103" s="9">
        <v>-44.75</v>
      </c>
      <c r="F103" s="9">
        <v>-65.650000000000006</v>
      </c>
      <c r="G103" s="6">
        <v>25</v>
      </c>
      <c r="H103" s="7"/>
      <c r="I103" s="7"/>
      <c r="J103" s="7"/>
      <c r="K103" s="7"/>
      <c r="L103" s="6">
        <v>-80.5</v>
      </c>
      <c r="M103" s="6">
        <v>203.5</v>
      </c>
      <c r="N103" s="7">
        <v>12.2</v>
      </c>
      <c r="O103" s="7">
        <v>8.6999999999999993</v>
      </c>
      <c r="P103" s="9" t="s">
        <v>1203</v>
      </c>
      <c r="Q103" s="9" t="s">
        <v>1203</v>
      </c>
      <c r="R103" s="7">
        <v>291</v>
      </c>
      <c r="S103" s="13">
        <v>-58.920746538035701</v>
      </c>
      <c r="T103" s="13">
        <v>83.413834656389596</v>
      </c>
      <c r="U103" s="9">
        <v>47.499999999999901</v>
      </c>
      <c r="V103" s="9">
        <v>-33.299999999999997</v>
      </c>
      <c r="W103" s="9">
        <v>61.499999999999901</v>
      </c>
      <c r="X103" s="7" t="s">
        <v>1202</v>
      </c>
      <c r="Y103" s="7"/>
      <c r="Z103" s="7"/>
      <c r="AA103" s="7" t="b">
        <v>1</v>
      </c>
      <c r="AB103" s="7">
        <v>0</v>
      </c>
      <c r="AC103" s="14" t="s">
        <v>622</v>
      </c>
      <c r="AD103" s="7"/>
      <c r="AE103" s="7" t="s">
        <v>1369</v>
      </c>
      <c r="AF103" s="10" t="s">
        <v>651</v>
      </c>
      <c r="AG103" s="14" t="s">
        <v>1230</v>
      </c>
      <c r="AH103" s="10"/>
      <c r="AJ103" s="32"/>
    </row>
    <row r="104" spans="1:36" s="12" customFormat="1" ht="14" customHeight="1" x14ac:dyDescent="0.2">
      <c r="A104" s="10" t="s">
        <v>35</v>
      </c>
      <c r="B104" s="28">
        <v>2E-3</v>
      </c>
      <c r="C104" s="28">
        <v>8.0000000000000002E-3</v>
      </c>
      <c r="D104" s="29">
        <f>AVERAGE(B104,C104)</f>
        <v>5.0000000000000001E-3</v>
      </c>
      <c r="E104" s="7">
        <v>38.590000000000003</v>
      </c>
      <c r="F104" s="7">
        <v>331.22</v>
      </c>
      <c r="G104" s="34">
        <v>12</v>
      </c>
      <c r="H104" s="10"/>
      <c r="I104" s="10"/>
      <c r="J104" s="10"/>
      <c r="K104" s="10"/>
      <c r="L104" s="13">
        <v>-88.980387415062495</v>
      </c>
      <c r="M104" s="13">
        <v>146.96170726744498</v>
      </c>
      <c r="N104" s="9">
        <v>75.7795020504973</v>
      </c>
      <c r="O104" s="9">
        <v>5.0181507111444903</v>
      </c>
      <c r="P104" s="9"/>
      <c r="Q104" s="9"/>
      <c r="R104" s="7">
        <v>301</v>
      </c>
      <c r="S104" s="13">
        <v>-88.980259634727801</v>
      </c>
      <c r="T104" s="13">
        <v>146.92989485750601</v>
      </c>
      <c r="U104" s="9">
        <v>21.037123349769999</v>
      </c>
      <c r="V104" s="9">
        <v>-20.423397802509701</v>
      </c>
      <c r="W104" s="9">
        <v>6.2608811991202498E-4</v>
      </c>
      <c r="X104" s="7" t="s">
        <v>1202</v>
      </c>
      <c r="Y104" s="10"/>
      <c r="Z104" s="7"/>
      <c r="AA104" s="10" t="b">
        <v>1</v>
      </c>
      <c r="AB104" s="7">
        <v>0</v>
      </c>
      <c r="AC104" s="14" t="s">
        <v>36</v>
      </c>
      <c r="AD104" s="7"/>
      <c r="AE104" s="7" t="s">
        <v>32</v>
      </c>
      <c r="AF104" s="10"/>
      <c r="AG104" s="14"/>
      <c r="AH104" s="10"/>
      <c r="AJ104" s="32"/>
    </row>
    <row r="105" spans="1:36" s="17" customFormat="1" ht="14" customHeight="1" x14ac:dyDescent="0.2">
      <c r="A105" s="10" t="s">
        <v>39</v>
      </c>
      <c r="B105" s="28">
        <v>8.0000000000000002E-3</v>
      </c>
      <c r="C105" s="28">
        <v>1.2E-2</v>
      </c>
      <c r="D105" s="29">
        <f>AVERAGE(B105,C105)</f>
        <v>0.01</v>
      </c>
      <c r="E105" s="7">
        <v>45.52</v>
      </c>
      <c r="F105" s="7">
        <v>2.81</v>
      </c>
      <c r="G105" s="34">
        <v>6</v>
      </c>
      <c r="H105" s="10"/>
      <c r="I105" s="10"/>
      <c r="J105" s="10"/>
      <c r="K105" s="10"/>
      <c r="L105" s="13">
        <v>-87.193378668650297</v>
      </c>
      <c r="M105" s="13">
        <v>73.015923173315002</v>
      </c>
      <c r="N105" s="9">
        <v>21.426889986875601</v>
      </c>
      <c r="O105" s="9">
        <v>14.8063057657615</v>
      </c>
      <c r="P105" s="9"/>
      <c r="Q105" s="9"/>
      <c r="R105" s="7">
        <v>301</v>
      </c>
      <c r="S105" s="13">
        <v>-87.192212055455798</v>
      </c>
      <c r="T105" s="13">
        <v>73.014943218907803</v>
      </c>
      <c r="U105" s="9">
        <v>21.037036560058699</v>
      </c>
      <c r="V105" s="9">
        <v>-20.422853176542301</v>
      </c>
      <c r="W105" s="9">
        <v>1.2521762397733401E-3</v>
      </c>
      <c r="X105" s="7" t="s">
        <v>1202</v>
      </c>
      <c r="Y105" s="10"/>
      <c r="Z105" s="7"/>
      <c r="AA105" s="10" t="b">
        <v>1</v>
      </c>
      <c r="AB105" s="7">
        <v>0</v>
      </c>
      <c r="AC105" s="14" t="s">
        <v>40</v>
      </c>
      <c r="AD105" s="7"/>
      <c r="AE105" s="7" t="s">
        <v>32</v>
      </c>
      <c r="AF105" s="10"/>
      <c r="AG105" s="14"/>
      <c r="AH105" s="10"/>
      <c r="AJ105" s="32"/>
    </row>
    <row r="106" spans="1:36" s="12" customFormat="1" ht="14" customHeight="1" x14ac:dyDescent="0.2">
      <c r="A106" s="10" t="s">
        <v>55</v>
      </c>
      <c r="B106" s="28">
        <v>0.1</v>
      </c>
      <c r="C106" s="28">
        <v>0.13500000000000001</v>
      </c>
      <c r="D106" s="29">
        <f>AVERAGE(B106,C106)</f>
        <v>0.11750000000000001</v>
      </c>
      <c r="E106" s="7">
        <v>38.380000000000003</v>
      </c>
      <c r="F106" s="7">
        <v>14.97</v>
      </c>
      <c r="G106" s="34">
        <v>39</v>
      </c>
      <c r="H106" s="10"/>
      <c r="I106" s="10"/>
      <c r="J106" s="10"/>
      <c r="K106" s="10"/>
      <c r="L106" s="13">
        <v>-78.724852698111803</v>
      </c>
      <c r="M106" s="13">
        <v>318.49720838272503</v>
      </c>
      <c r="N106" s="9">
        <v>16.314196713526901</v>
      </c>
      <c r="O106" s="9">
        <v>5.8512791952488596</v>
      </c>
      <c r="P106" s="9"/>
      <c r="Q106" s="9"/>
      <c r="R106" s="7">
        <v>301</v>
      </c>
      <c r="S106" s="13">
        <v>-78.729786741505293</v>
      </c>
      <c r="T106" s="13">
        <v>318.566784819568</v>
      </c>
      <c r="U106" s="9">
        <v>21.035170486829099</v>
      </c>
      <c r="V106" s="9">
        <v>-20.411143812332401</v>
      </c>
      <c r="W106" s="9">
        <v>1.47130707084316E-2</v>
      </c>
      <c r="X106" s="7" t="s">
        <v>1202</v>
      </c>
      <c r="Y106" s="10"/>
      <c r="Z106" s="7"/>
      <c r="AA106" s="10" t="b">
        <v>1</v>
      </c>
      <c r="AB106" s="7">
        <v>0</v>
      </c>
      <c r="AC106" s="14" t="s">
        <v>56</v>
      </c>
      <c r="AD106" s="7"/>
      <c r="AE106" s="7" t="s">
        <v>32</v>
      </c>
      <c r="AF106" s="10"/>
      <c r="AG106" s="14"/>
      <c r="AH106" s="10"/>
      <c r="AJ106" s="32"/>
    </row>
    <row r="107" spans="1:36" s="10" customFormat="1" ht="14" customHeight="1" x14ac:dyDescent="0.2">
      <c r="A107" s="10" t="s">
        <v>63</v>
      </c>
      <c r="B107" s="28">
        <v>0</v>
      </c>
      <c r="C107" s="28">
        <v>0.46100000000000002</v>
      </c>
      <c r="D107" s="29">
        <f>AVERAGE(B107,C107)</f>
        <v>0.23050000000000001</v>
      </c>
      <c r="E107" s="7">
        <v>70.95</v>
      </c>
      <c r="F107" s="7">
        <v>351.35</v>
      </c>
      <c r="G107" s="34">
        <v>23</v>
      </c>
      <c r="L107" s="13">
        <v>-83.889454016718304</v>
      </c>
      <c r="M107" s="13">
        <v>248.60435395478481</v>
      </c>
      <c r="N107" s="9">
        <v>11.7512788903603</v>
      </c>
      <c r="O107" s="9">
        <v>9.2223132076251204</v>
      </c>
      <c r="P107" s="9"/>
      <c r="Q107" s="9"/>
      <c r="R107" s="7">
        <v>301</v>
      </c>
      <c r="S107" s="13">
        <v>-83.916389580460404</v>
      </c>
      <c r="T107" s="13">
        <v>248.61033869803001</v>
      </c>
      <c r="U107" s="9">
        <v>21.033208745484</v>
      </c>
      <c r="V107" s="9">
        <v>-20.3988355579976</v>
      </c>
      <c r="W107" s="9">
        <v>2.8862661500192101E-2</v>
      </c>
      <c r="X107" s="7" t="s">
        <v>1202</v>
      </c>
      <c r="Z107" s="7"/>
      <c r="AA107" s="10" t="b">
        <v>1</v>
      </c>
      <c r="AB107" s="7">
        <v>0</v>
      </c>
      <c r="AC107" s="14" t="s">
        <v>64</v>
      </c>
      <c r="AD107" s="7"/>
      <c r="AE107" s="7" t="s">
        <v>32</v>
      </c>
      <c r="AG107" s="14"/>
      <c r="AJ107" s="32"/>
    </row>
    <row r="108" spans="1:36" s="17" customFormat="1" ht="14" customHeight="1" x14ac:dyDescent="0.2">
      <c r="A108" s="10" t="s">
        <v>73</v>
      </c>
      <c r="B108" s="28">
        <v>0</v>
      </c>
      <c r="C108" s="28">
        <v>0.878</v>
      </c>
      <c r="D108" s="29">
        <f>AVERAGE(B108,C108)</f>
        <v>0.439</v>
      </c>
      <c r="E108" s="7">
        <v>37.81</v>
      </c>
      <c r="F108" s="7">
        <v>334.62</v>
      </c>
      <c r="G108" s="34">
        <v>33</v>
      </c>
      <c r="H108" s="10"/>
      <c r="I108" s="10"/>
      <c r="J108" s="10"/>
      <c r="K108" s="10"/>
      <c r="L108" s="13">
        <v>-83.149686414110406</v>
      </c>
      <c r="M108" s="13">
        <v>344.87592632099199</v>
      </c>
      <c r="N108" s="9">
        <v>24.448099802906299</v>
      </c>
      <c r="O108" s="9">
        <v>5.1604583086109397</v>
      </c>
      <c r="P108" s="9"/>
      <c r="Q108" s="9"/>
      <c r="R108" s="7">
        <v>301</v>
      </c>
      <c r="S108" s="13">
        <v>-83.144791414215504</v>
      </c>
      <c r="T108" s="13">
        <v>345.320653929478</v>
      </c>
      <c r="U108" s="9">
        <v>21.029588549021799</v>
      </c>
      <c r="V108" s="9">
        <v>-20.376125715463498</v>
      </c>
      <c r="W108" s="9">
        <v>5.4970531207837098E-2</v>
      </c>
      <c r="X108" s="7" t="s">
        <v>1202</v>
      </c>
      <c r="Y108" s="10"/>
      <c r="Z108" s="7"/>
      <c r="AA108" s="10" t="b">
        <v>1</v>
      </c>
      <c r="AB108" s="7">
        <v>0</v>
      </c>
      <c r="AC108" s="14" t="s">
        <v>74</v>
      </c>
      <c r="AD108" s="7"/>
      <c r="AE108" s="7" t="s">
        <v>32</v>
      </c>
      <c r="AF108" s="10"/>
      <c r="AG108" s="14"/>
      <c r="AH108" s="10"/>
      <c r="AJ108" s="32"/>
    </row>
    <row r="109" spans="1:36" s="12" customFormat="1" ht="14" customHeight="1" x14ac:dyDescent="0.2">
      <c r="A109" s="10" t="s">
        <v>85</v>
      </c>
      <c r="B109" s="28">
        <v>0.53500000000000003</v>
      </c>
      <c r="C109" s="28">
        <v>1.1399999999999999</v>
      </c>
      <c r="D109" s="29">
        <f>AVERAGE(B109,C109)</f>
        <v>0.83749999999999991</v>
      </c>
      <c r="E109" s="7">
        <v>45.96</v>
      </c>
      <c r="F109" s="7">
        <v>25.35</v>
      </c>
      <c r="G109" s="34">
        <v>20</v>
      </c>
      <c r="H109" s="10"/>
      <c r="I109" s="10"/>
      <c r="J109" s="10"/>
      <c r="K109" s="10"/>
      <c r="L109" s="13">
        <v>-86.158580935415202</v>
      </c>
      <c r="M109" s="13">
        <v>234.4262673614397</v>
      </c>
      <c r="N109" s="9">
        <v>30.735780187224801</v>
      </c>
      <c r="O109" s="9">
        <v>5.9828851449387104</v>
      </c>
      <c r="P109" s="9"/>
      <c r="Q109" s="9"/>
      <c r="R109" s="7">
        <v>301</v>
      </c>
      <c r="S109" s="13">
        <v>-86.2526836762313</v>
      </c>
      <c r="T109" s="13">
        <v>234.071496228504</v>
      </c>
      <c r="U109" s="9">
        <v>20.8775238165139</v>
      </c>
      <c r="V109" s="9">
        <v>-20.306819365199701</v>
      </c>
      <c r="W109" s="9">
        <v>0.104487752209834</v>
      </c>
      <c r="X109" s="7" t="s">
        <v>1202</v>
      </c>
      <c r="Y109" s="10"/>
      <c r="Z109" s="7"/>
      <c r="AA109" s="10" t="b">
        <v>1</v>
      </c>
      <c r="AB109" s="7">
        <v>0</v>
      </c>
      <c r="AC109" s="14" t="s">
        <v>86</v>
      </c>
      <c r="AD109" s="7"/>
      <c r="AE109" s="7" t="s">
        <v>32</v>
      </c>
      <c r="AF109" s="10"/>
      <c r="AG109" s="14"/>
      <c r="AH109" s="10"/>
      <c r="AJ109" s="32"/>
    </row>
    <row r="110" spans="1:36" customFormat="1" ht="13.5" customHeight="1" x14ac:dyDescent="0.2">
      <c r="A110" s="10" t="s">
        <v>97</v>
      </c>
      <c r="B110" s="28">
        <v>0.31</v>
      </c>
      <c r="C110" s="28">
        <v>2.29</v>
      </c>
      <c r="D110" s="29">
        <f>AVERAGE(B110,C110)</f>
        <v>1.3</v>
      </c>
      <c r="E110" s="7">
        <v>41.68</v>
      </c>
      <c r="F110" s="7">
        <v>43.94</v>
      </c>
      <c r="G110" s="34">
        <v>41</v>
      </c>
      <c r="H110" s="10"/>
      <c r="I110" s="10"/>
      <c r="J110" s="10"/>
      <c r="K110" s="10"/>
      <c r="L110" s="13">
        <v>-84.254973763113199</v>
      </c>
      <c r="M110" s="13">
        <v>312.92440876219098</v>
      </c>
      <c r="N110" s="9">
        <v>19.090053067283201</v>
      </c>
      <c r="O110" s="9">
        <v>5.24588290927454</v>
      </c>
      <c r="P110" s="9"/>
      <c r="Q110" s="9"/>
      <c r="R110" s="7">
        <v>301</v>
      </c>
      <c r="S110" s="13">
        <v>-84.321197323797307</v>
      </c>
      <c r="T110" s="13">
        <v>314.32323388895998</v>
      </c>
      <c r="U110" s="9">
        <v>20.238420885656701</v>
      </c>
      <c r="V110" s="9">
        <v>-20.1444938961831</v>
      </c>
      <c r="W110" s="9">
        <v>0.15967410765422699</v>
      </c>
      <c r="X110" s="7" t="s">
        <v>1202</v>
      </c>
      <c r="Y110" s="10"/>
      <c r="Z110" s="7"/>
      <c r="AA110" s="10" t="b">
        <v>1</v>
      </c>
      <c r="AB110" s="7">
        <v>0</v>
      </c>
      <c r="AC110" s="14" t="s">
        <v>98</v>
      </c>
      <c r="AD110" s="7"/>
      <c r="AE110" s="7" t="s">
        <v>32</v>
      </c>
      <c r="AF110" s="10"/>
      <c r="AG110" s="14"/>
      <c r="AH110" s="10"/>
      <c r="AJ110" s="32"/>
    </row>
    <row r="111" spans="1:36" s="17" customFormat="1" ht="14" customHeight="1" x14ac:dyDescent="0.2">
      <c r="A111" s="10" t="s">
        <v>107</v>
      </c>
      <c r="B111" s="28">
        <v>0.307</v>
      </c>
      <c r="C111" s="28">
        <v>4.01</v>
      </c>
      <c r="D111" s="29">
        <f>AVERAGE(B111,C111)</f>
        <v>2.1585000000000001</v>
      </c>
      <c r="E111" s="7">
        <v>20.98</v>
      </c>
      <c r="F111" s="7">
        <v>255.65</v>
      </c>
      <c r="G111" s="34">
        <v>7</v>
      </c>
      <c r="H111" s="9"/>
      <c r="I111" s="9"/>
      <c r="J111" s="9"/>
      <c r="K111" s="9"/>
      <c r="L111" s="13">
        <v>-79.095640212039399</v>
      </c>
      <c r="M111" s="13">
        <v>329.45407844339798</v>
      </c>
      <c r="N111" s="9">
        <v>19.925499453682601</v>
      </c>
      <c r="O111" s="9">
        <v>13.8580790255448</v>
      </c>
      <c r="P111" s="9"/>
      <c r="Q111" s="9"/>
      <c r="R111" s="30">
        <v>301</v>
      </c>
      <c r="S111" s="13">
        <v>-79.136829669167994</v>
      </c>
      <c r="T111" s="13">
        <v>330.78278980356998</v>
      </c>
      <c r="U111" s="9">
        <v>18.361924305092099</v>
      </c>
      <c r="V111" s="9">
        <v>-20.1412613070896</v>
      </c>
      <c r="W111" s="9">
        <v>0.256506469900664</v>
      </c>
      <c r="X111" s="7" t="s">
        <v>1202</v>
      </c>
      <c r="Y111" s="10"/>
      <c r="Z111" s="7"/>
      <c r="AA111" s="7" t="b">
        <v>1</v>
      </c>
      <c r="AB111" s="7">
        <v>0</v>
      </c>
      <c r="AC111" s="14" t="s">
        <v>108</v>
      </c>
      <c r="AD111" s="7"/>
      <c r="AE111" s="7" t="s">
        <v>32</v>
      </c>
      <c r="AF111" s="10"/>
      <c r="AG111" s="14"/>
      <c r="AH111" s="10"/>
      <c r="AJ111" s="32"/>
    </row>
    <row r="112" spans="1:36" s="12" customFormat="1" ht="14" customHeight="1" x14ac:dyDescent="0.2">
      <c r="A112" s="10" t="s">
        <v>111</v>
      </c>
      <c r="B112" s="28">
        <v>2</v>
      </c>
      <c r="C112" s="28">
        <v>2.73</v>
      </c>
      <c r="D112" s="29">
        <f>AVERAGE(B112,C112)</f>
        <v>2.3650000000000002</v>
      </c>
      <c r="E112" s="7">
        <v>41.35</v>
      </c>
      <c r="F112" s="7">
        <v>44.17</v>
      </c>
      <c r="G112" s="34">
        <v>16</v>
      </c>
      <c r="H112" s="9"/>
      <c r="I112" s="9"/>
      <c r="J112" s="9"/>
      <c r="K112" s="9"/>
      <c r="L112" s="13">
        <v>-78.233354340235095</v>
      </c>
      <c r="M112" s="13">
        <v>249.14658129496058</v>
      </c>
      <c r="N112" s="9">
        <v>43.786262117801499</v>
      </c>
      <c r="O112" s="9">
        <v>5.6374121849521801</v>
      </c>
      <c r="P112" s="9"/>
      <c r="Q112" s="9"/>
      <c r="R112" s="7">
        <v>301</v>
      </c>
      <c r="S112" s="13">
        <v>-78.498337965576397</v>
      </c>
      <c r="T112" s="13">
        <v>249.21684982028901</v>
      </c>
      <c r="U112" s="9">
        <v>17.709913454190801</v>
      </c>
      <c r="V112" s="9">
        <v>-20.1792690797284</v>
      </c>
      <c r="W112" s="9">
        <v>0.27818356403642702</v>
      </c>
      <c r="X112" s="7" t="s">
        <v>1202</v>
      </c>
      <c r="Y112" s="10"/>
      <c r="Z112" s="7"/>
      <c r="AA112" s="7" t="b">
        <v>1</v>
      </c>
      <c r="AB112" s="7">
        <v>0</v>
      </c>
      <c r="AC112" s="14" t="s">
        <v>112</v>
      </c>
      <c r="AD112" s="7"/>
      <c r="AE112" s="7" t="s">
        <v>32</v>
      </c>
      <c r="AF112" s="10"/>
      <c r="AG112" s="14"/>
      <c r="AH112" s="10"/>
      <c r="AJ112" s="32"/>
    </row>
    <row r="113" spans="1:36" s="17" customFormat="1" ht="14" customHeight="1" x14ac:dyDescent="0.2">
      <c r="A113" s="56" t="s">
        <v>113</v>
      </c>
      <c r="B113" s="50">
        <v>0.4</v>
      </c>
      <c r="C113" s="50">
        <v>4.42</v>
      </c>
      <c r="D113" s="51">
        <f>AVERAGE(B113,C113)</f>
        <v>2.41</v>
      </c>
      <c r="E113" s="52">
        <v>46.2</v>
      </c>
      <c r="F113" s="52">
        <v>25.78</v>
      </c>
      <c r="G113" s="53">
        <v>67</v>
      </c>
      <c r="H113" s="56"/>
      <c r="I113" s="56"/>
      <c r="J113" s="56"/>
      <c r="K113" s="56"/>
      <c r="L113" s="55">
        <v>-87.918849466620799</v>
      </c>
      <c r="M113" s="55">
        <v>115.431529871355</v>
      </c>
      <c r="N113" s="54">
        <v>8.9387100036983203</v>
      </c>
      <c r="O113" s="54">
        <v>6.1478609329824403</v>
      </c>
      <c r="P113" s="54"/>
      <c r="Q113" s="54"/>
      <c r="R113" s="52">
        <v>301</v>
      </c>
      <c r="S113" s="55">
        <v>-87.722177815375602</v>
      </c>
      <c r="T113" s="55">
        <v>110.661484071082</v>
      </c>
      <c r="U113" s="54">
        <v>17.581018732536599</v>
      </c>
      <c r="V113" s="54">
        <v>-20.186306333180799</v>
      </c>
      <c r="W113" s="54">
        <v>0.282911700626092</v>
      </c>
      <c r="X113" s="52" t="s">
        <v>1202</v>
      </c>
      <c r="Y113" s="56"/>
      <c r="Z113" s="52"/>
      <c r="AA113" s="56" t="b">
        <v>0</v>
      </c>
      <c r="AB113" s="52">
        <v>0</v>
      </c>
      <c r="AC113" s="49" t="s">
        <v>114</v>
      </c>
      <c r="AD113" s="52"/>
      <c r="AE113" s="52" t="s">
        <v>32</v>
      </c>
      <c r="AF113" s="56"/>
      <c r="AG113" s="49"/>
      <c r="AH113" s="56"/>
      <c r="AJ113" s="32"/>
    </row>
    <row r="114" spans="1:36" s="12" customFormat="1" ht="14" customHeight="1" x14ac:dyDescent="0.2">
      <c r="A114" s="10" t="s">
        <v>125</v>
      </c>
      <c r="B114" s="28">
        <v>0</v>
      </c>
      <c r="C114" s="28">
        <v>6.7</v>
      </c>
      <c r="D114" s="29">
        <f>AVERAGE(B114,C114)</f>
        <v>3.35</v>
      </c>
      <c r="E114" s="7">
        <v>27.55</v>
      </c>
      <c r="F114" s="7">
        <v>112.23</v>
      </c>
      <c r="G114" s="34">
        <v>46</v>
      </c>
      <c r="H114" s="10"/>
      <c r="I114" s="10"/>
      <c r="J114" s="10"/>
      <c r="K114" s="10"/>
      <c r="L114" s="13">
        <v>-87.836555172978294</v>
      </c>
      <c r="M114" s="13">
        <v>108.69907702754301</v>
      </c>
      <c r="N114" s="9">
        <v>39.4805047877039</v>
      </c>
      <c r="O114" s="9">
        <v>3.3892105807622799</v>
      </c>
      <c r="P114" s="9"/>
      <c r="Q114" s="9"/>
      <c r="R114" s="7">
        <v>301</v>
      </c>
      <c r="S114" s="13">
        <v>-87.536845482435695</v>
      </c>
      <c r="T114" s="13">
        <v>103.454845769443</v>
      </c>
      <c r="U114" s="9">
        <v>17.708499229191101</v>
      </c>
      <c r="V114" s="9">
        <v>-19.8003750590184</v>
      </c>
      <c r="W114" s="9">
        <v>0.38786000870099002</v>
      </c>
      <c r="X114" s="7" t="s">
        <v>1202</v>
      </c>
      <c r="Y114" s="10"/>
      <c r="Z114" s="7"/>
      <c r="AA114" s="10" t="b">
        <v>1</v>
      </c>
      <c r="AB114" s="7">
        <v>0</v>
      </c>
      <c r="AC114" s="10" t="s">
        <v>126</v>
      </c>
      <c r="AD114" s="7"/>
      <c r="AE114" s="7" t="s">
        <v>32</v>
      </c>
      <c r="AF114" s="10"/>
      <c r="AG114" s="14"/>
      <c r="AH114" s="10"/>
      <c r="AJ114" s="32"/>
    </row>
    <row r="115" spans="1:36" s="12" customFormat="1" ht="14" customHeight="1" x14ac:dyDescent="0.2">
      <c r="A115" s="56" t="s">
        <v>127</v>
      </c>
      <c r="B115" s="50">
        <v>2.99</v>
      </c>
      <c r="C115" s="50">
        <v>4.1500000000000004</v>
      </c>
      <c r="D115" s="51">
        <f>AVERAGE(B115,C115)</f>
        <v>3.5700000000000003</v>
      </c>
      <c r="E115" s="52">
        <v>41.36</v>
      </c>
      <c r="F115" s="52">
        <v>43.27</v>
      </c>
      <c r="G115" s="53">
        <v>9</v>
      </c>
      <c r="H115" s="54"/>
      <c r="I115" s="54"/>
      <c r="J115" s="54"/>
      <c r="K115" s="54"/>
      <c r="L115" s="55">
        <v>-74.673865345636003</v>
      </c>
      <c r="M115" s="55">
        <v>7.9318245158619902</v>
      </c>
      <c r="N115" s="54">
        <v>5.99538784596814</v>
      </c>
      <c r="O115" s="54">
        <v>22.936891715729701</v>
      </c>
      <c r="P115" s="54"/>
      <c r="Q115" s="54"/>
      <c r="R115" s="52">
        <v>301</v>
      </c>
      <c r="S115" s="55">
        <v>-74.487400110939305</v>
      </c>
      <c r="T115" s="55">
        <v>9.3123609800946898</v>
      </c>
      <c r="U115" s="54">
        <v>17.838584858797098</v>
      </c>
      <c r="V115" s="54">
        <v>-19.705627770129301</v>
      </c>
      <c r="W115" s="54">
        <v>0.41278082173948599</v>
      </c>
      <c r="X115" s="52" t="s">
        <v>1202</v>
      </c>
      <c r="Y115" s="56"/>
      <c r="Z115" s="52"/>
      <c r="AA115" s="52" t="b">
        <v>0</v>
      </c>
      <c r="AB115" s="52">
        <v>0</v>
      </c>
      <c r="AC115" s="49" t="s">
        <v>128</v>
      </c>
      <c r="AD115" s="52"/>
      <c r="AE115" s="52" t="s">
        <v>32</v>
      </c>
      <c r="AF115" s="56"/>
      <c r="AG115" s="49"/>
      <c r="AH115" s="56"/>
      <c r="AJ115" s="32"/>
    </row>
    <row r="116" spans="1:36" s="12" customFormat="1" ht="14" customHeight="1" x14ac:dyDescent="0.2">
      <c r="A116" s="10" t="s">
        <v>136</v>
      </c>
      <c r="B116" s="28">
        <v>0.5</v>
      </c>
      <c r="C116" s="28">
        <v>9.15</v>
      </c>
      <c r="D116" s="29">
        <f>AVERAGE(B116,C116)</f>
        <v>4.8250000000000002</v>
      </c>
      <c r="E116" s="7">
        <v>79.37</v>
      </c>
      <c r="F116" s="7">
        <v>14.02</v>
      </c>
      <c r="G116" s="34">
        <v>14</v>
      </c>
      <c r="H116" s="10"/>
      <c r="I116" s="10"/>
      <c r="J116" s="10"/>
      <c r="K116" s="10"/>
      <c r="L116" s="13">
        <v>-76.407518145473603</v>
      </c>
      <c r="M116" s="13">
        <v>24.380520921277991</v>
      </c>
      <c r="N116" s="9">
        <v>10.903313797111901</v>
      </c>
      <c r="O116" s="9">
        <v>12.6110527250133</v>
      </c>
      <c r="P116" s="9"/>
      <c r="Q116" s="9"/>
      <c r="R116" s="7">
        <v>301</v>
      </c>
      <c r="S116" s="13">
        <v>-76.050140680208401</v>
      </c>
      <c r="T116" s="13">
        <v>26.030646601286001</v>
      </c>
      <c r="U116" s="9">
        <v>18.413381960450799</v>
      </c>
      <c r="V116" s="9">
        <v>-19.355603315118099</v>
      </c>
      <c r="W116" s="9">
        <v>0.53676063183475298</v>
      </c>
      <c r="X116" s="7" t="s">
        <v>1202</v>
      </c>
      <c r="Y116" s="10"/>
      <c r="Z116" s="7"/>
      <c r="AA116" s="10" t="b">
        <v>1</v>
      </c>
      <c r="AB116" s="7">
        <v>0</v>
      </c>
      <c r="AC116" s="14" t="s">
        <v>64</v>
      </c>
      <c r="AD116" s="7"/>
      <c r="AE116" s="7" t="s">
        <v>32</v>
      </c>
      <c r="AF116" s="10"/>
      <c r="AG116" s="14"/>
      <c r="AH116" s="10"/>
      <c r="AJ116" s="32"/>
    </row>
    <row r="117" spans="1:36" s="12" customFormat="1" ht="14" customHeight="1" x14ac:dyDescent="0.2">
      <c r="A117" s="49" t="s">
        <v>153</v>
      </c>
      <c r="B117" s="54">
        <v>9</v>
      </c>
      <c r="C117" s="54">
        <v>14</v>
      </c>
      <c r="D117" s="58">
        <v>11.5</v>
      </c>
      <c r="E117" s="54">
        <v>45</v>
      </c>
      <c r="F117" s="54">
        <v>4.2</v>
      </c>
      <c r="G117" s="53">
        <v>11</v>
      </c>
      <c r="H117" s="54">
        <v>1.4</v>
      </c>
      <c r="I117" s="54">
        <v>57.6</v>
      </c>
      <c r="J117" s="54">
        <v>44.7</v>
      </c>
      <c r="K117" s="54">
        <v>6.9</v>
      </c>
      <c r="L117" s="55">
        <v>-84.1</v>
      </c>
      <c r="M117" s="58">
        <v>351.2</v>
      </c>
      <c r="N117" s="54">
        <v>29</v>
      </c>
      <c r="O117" s="54">
        <v>8.6</v>
      </c>
      <c r="P117" s="54" t="s">
        <v>1203</v>
      </c>
      <c r="Q117" s="54" t="s">
        <v>1203</v>
      </c>
      <c r="R117" s="52">
        <v>301</v>
      </c>
      <c r="S117" s="55">
        <v>-83.801944433141998</v>
      </c>
      <c r="T117" s="55">
        <v>1.63486192829729</v>
      </c>
      <c r="U117" s="54">
        <v>13.614755865514599</v>
      </c>
      <c r="V117" s="54">
        <v>-19.011319503788901</v>
      </c>
      <c r="W117" s="54">
        <v>1.1481684834153101</v>
      </c>
      <c r="X117" s="52" t="s">
        <v>1202</v>
      </c>
      <c r="Y117" s="56"/>
      <c r="Z117" s="56"/>
      <c r="AA117" s="56" t="b">
        <v>1</v>
      </c>
      <c r="AB117" s="52" t="s">
        <v>165</v>
      </c>
      <c r="AC117" s="49" t="s">
        <v>143</v>
      </c>
      <c r="AD117" s="52">
        <v>3324</v>
      </c>
      <c r="AE117" s="52" t="s">
        <v>147</v>
      </c>
      <c r="AF117" s="56" t="s">
        <v>154</v>
      </c>
      <c r="AG117" s="49"/>
      <c r="AH117" s="56"/>
      <c r="AJ117" s="32"/>
    </row>
    <row r="118" spans="1:36" s="12" customFormat="1" ht="14" customHeight="1" x14ac:dyDescent="0.2">
      <c r="A118" s="49" t="s">
        <v>166</v>
      </c>
      <c r="B118" s="54">
        <v>10.7</v>
      </c>
      <c r="C118" s="54">
        <v>12.8</v>
      </c>
      <c r="D118" s="55">
        <f>AVERAGE(B118:C118)</f>
        <v>11.75</v>
      </c>
      <c r="E118" s="54">
        <v>41.3</v>
      </c>
      <c r="F118" s="54">
        <v>-1.5</v>
      </c>
      <c r="G118" s="53">
        <v>507</v>
      </c>
      <c r="H118" s="54">
        <v>181.5</v>
      </c>
      <c r="I118" s="54">
        <v>-41.4</v>
      </c>
      <c r="J118" s="54">
        <v>17.899999999999999</v>
      </c>
      <c r="K118" s="54">
        <v>1.5</v>
      </c>
      <c r="L118" s="55">
        <v>-72.400000000000006</v>
      </c>
      <c r="M118" s="55">
        <v>352</v>
      </c>
      <c r="N118" s="54"/>
      <c r="O118" s="54"/>
      <c r="P118" s="54">
        <v>22.181105064997698</v>
      </c>
      <c r="Q118" s="54">
        <v>1.3553263024460016</v>
      </c>
      <c r="R118" s="52">
        <v>301</v>
      </c>
      <c r="S118" s="55">
        <v>-72.142291534247306</v>
      </c>
      <c r="T118" s="55">
        <v>355.82710189372898</v>
      </c>
      <c r="U118" s="54">
        <v>13.514761035845799</v>
      </c>
      <c r="V118" s="54">
        <v>-18.884190131401699</v>
      </c>
      <c r="W118" s="54">
        <v>1.19593811636673</v>
      </c>
      <c r="X118" s="52" t="s">
        <v>1204</v>
      </c>
      <c r="Y118" s="56"/>
      <c r="Z118" s="56"/>
      <c r="AA118" s="56" t="b">
        <v>1</v>
      </c>
      <c r="AB118" s="52" t="s">
        <v>165</v>
      </c>
      <c r="AC118" s="49" t="s">
        <v>167</v>
      </c>
      <c r="AD118" s="52"/>
      <c r="AE118" s="52" t="s">
        <v>147</v>
      </c>
      <c r="AF118" s="56" t="s">
        <v>164</v>
      </c>
      <c r="AG118" s="49"/>
      <c r="AH118" s="56"/>
      <c r="AJ118" s="32"/>
    </row>
    <row r="119" spans="1:36" s="12" customFormat="1" ht="14" customHeight="1" x14ac:dyDescent="0.2">
      <c r="A119" s="10" t="s">
        <v>171</v>
      </c>
      <c r="B119" s="9">
        <v>12.1</v>
      </c>
      <c r="C119" s="9">
        <v>13.3</v>
      </c>
      <c r="D119" s="13">
        <v>12.7</v>
      </c>
      <c r="E119" s="7">
        <v>45.5</v>
      </c>
      <c r="F119" s="7">
        <v>101</v>
      </c>
      <c r="G119" s="34">
        <v>7</v>
      </c>
      <c r="H119" s="7">
        <v>206.6</v>
      </c>
      <c r="I119" s="7">
        <v>-64.7</v>
      </c>
      <c r="J119" s="7">
        <v>29.5</v>
      </c>
      <c r="K119" s="7">
        <v>11.3</v>
      </c>
      <c r="L119" s="13">
        <v>-71.599999999999994</v>
      </c>
      <c r="M119" s="13">
        <v>358</v>
      </c>
      <c r="N119" s="9"/>
      <c r="O119" s="9"/>
      <c r="P119" s="9">
        <v>14.543174526710642</v>
      </c>
      <c r="Q119" s="9">
        <v>16.373463592191271</v>
      </c>
      <c r="R119" s="7">
        <v>301</v>
      </c>
      <c r="S119" s="13">
        <v>-71.208066085396595</v>
      </c>
      <c r="T119" s="13">
        <v>1.7707779617814601</v>
      </c>
      <c r="U119" s="9">
        <v>13.645834181667899</v>
      </c>
      <c r="V119" s="9">
        <v>-18.657757010925899</v>
      </c>
      <c r="W119" s="9">
        <v>1.26759836104659</v>
      </c>
      <c r="X119" s="7" t="s">
        <v>1202</v>
      </c>
      <c r="Y119" s="10"/>
      <c r="Z119" s="10"/>
      <c r="AA119" s="10" t="b">
        <v>1</v>
      </c>
      <c r="AB119" s="7">
        <v>0</v>
      </c>
      <c r="AC119" s="14" t="s">
        <v>172</v>
      </c>
      <c r="AD119" s="7"/>
      <c r="AE119" s="7" t="s">
        <v>1369</v>
      </c>
      <c r="AF119" s="10" t="s">
        <v>173</v>
      </c>
      <c r="AG119" s="14"/>
      <c r="AH119" s="10"/>
      <c r="AJ119" s="32"/>
    </row>
    <row r="120" spans="1:36" s="12" customFormat="1" ht="14" customHeight="1" x14ac:dyDescent="0.2">
      <c r="A120" s="10" t="s">
        <v>192</v>
      </c>
      <c r="B120" s="9">
        <f>D120-0.79</f>
        <v>15.7</v>
      </c>
      <c r="C120" s="9">
        <f>D120+0.79</f>
        <v>17.279999999999998</v>
      </c>
      <c r="D120" s="13">
        <v>16.489999999999998</v>
      </c>
      <c r="E120" s="7">
        <v>50.52</v>
      </c>
      <c r="F120" s="7">
        <v>15.23</v>
      </c>
      <c r="G120" s="34">
        <v>11</v>
      </c>
      <c r="H120" s="7">
        <v>163.30000000000001</v>
      </c>
      <c r="I120" s="7">
        <v>-62.5</v>
      </c>
      <c r="J120" s="7">
        <v>36.799999999999997</v>
      </c>
      <c r="K120" s="7">
        <v>7.6</v>
      </c>
      <c r="L120" s="13">
        <v>-76.876241259039261</v>
      </c>
      <c r="M120" s="13">
        <v>261.12</v>
      </c>
      <c r="N120" s="7">
        <v>21.5</v>
      </c>
      <c r="O120" s="7">
        <v>10.1</v>
      </c>
      <c r="P120" s="9" t="s">
        <v>1203</v>
      </c>
      <c r="Q120" s="9" t="s">
        <v>1203</v>
      </c>
      <c r="R120" s="7">
        <v>301</v>
      </c>
      <c r="S120" s="13">
        <v>-78.601692796083498</v>
      </c>
      <c r="T120" s="13">
        <v>262.98811737588301</v>
      </c>
      <c r="U120" s="9">
        <v>15.001765799308901</v>
      </c>
      <c r="V120" s="9">
        <v>-17.936203861126199</v>
      </c>
      <c r="W120" s="9">
        <v>1.8137021202933801</v>
      </c>
      <c r="X120" s="7" t="s">
        <v>1202</v>
      </c>
      <c r="Y120" s="10"/>
      <c r="Z120" s="10"/>
      <c r="AA120" s="10" t="b">
        <v>1</v>
      </c>
      <c r="AB120" s="7">
        <v>0</v>
      </c>
      <c r="AC120" s="14" t="s">
        <v>193</v>
      </c>
      <c r="AD120" s="7"/>
      <c r="AE120" s="7" t="s">
        <v>1369</v>
      </c>
      <c r="AF120" s="10" t="s">
        <v>194</v>
      </c>
      <c r="AG120" s="14" t="s">
        <v>1208</v>
      </c>
      <c r="AH120" s="10"/>
      <c r="AJ120" s="32"/>
    </row>
    <row r="121" spans="1:36" s="12" customFormat="1" ht="14" customHeight="1" x14ac:dyDescent="0.2">
      <c r="A121" s="10" t="s">
        <v>201</v>
      </c>
      <c r="B121" s="9">
        <v>19.5</v>
      </c>
      <c r="C121" s="9">
        <v>20.3</v>
      </c>
      <c r="D121" s="13">
        <v>19.899999999999999</v>
      </c>
      <c r="E121" s="9">
        <v>52.1</v>
      </c>
      <c r="F121" s="9">
        <v>100.3</v>
      </c>
      <c r="G121" s="34">
        <v>9</v>
      </c>
      <c r="H121" s="9">
        <v>31.7</v>
      </c>
      <c r="I121" s="9">
        <v>66.5</v>
      </c>
      <c r="J121" s="9">
        <v>70.3</v>
      </c>
      <c r="K121" s="9">
        <v>6.2</v>
      </c>
      <c r="L121" s="13">
        <v>-69.8</v>
      </c>
      <c r="M121" s="13">
        <v>6.5</v>
      </c>
      <c r="N121" s="9"/>
      <c r="O121" s="9"/>
      <c r="P121" s="9">
        <v>32.149409058902343</v>
      </c>
      <c r="Q121" s="9">
        <v>9.2185529082338888</v>
      </c>
      <c r="R121" s="7">
        <v>301</v>
      </c>
      <c r="S121" s="13">
        <v>-68.674877695701397</v>
      </c>
      <c r="T121" s="13">
        <v>12.592763256269601</v>
      </c>
      <c r="U121" s="9">
        <v>15.954329037860701</v>
      </c>
      <c r="V121" s="9">
        <v>-19.125715295809901</v>
      </c>
      <c r="W121" s="9">
        <v>2.43596775554095</v>
      </c>
      <c r="X121" s="7" t="s">
        <v>1202</v>
      </c>
      <c r="Y121" s="10"/>
      <c r="Z121" s="10"/>
      <c r="AA121" s="10" t="b">
        <v>1</v>
      </c>
      <c r="AB121" s="7">
        <v>0</v>
      </c>
      <c r="AC121" s="14" t="s">
        <v>172</v>
      </c>
      <c r="AD121" s="7"/>
      <c r="AE121" s="7" t="s">
        <v>1369</v>
      </c>
      <c r="AF121" s="10" t="s">
        <v>202</v>
      </c>
      <c r="AG121" s="14"/>
      <c r="AH121" s="10"/>
      <c r="AJ121" s="32"/>
    </row>
    <row r="122" spans="1:36" s="17" customFormat="1" ht="14" customHeight="1" x14ac:dyDescent="0.2">
      <c r="A122" s="14" t="s">
        <v>206</v>
      </c>
      <c r="B122" s="9">
        <v>19.399999999999999</v>
      </c>
      <c r="C122" s="9">
        <v>23.5</v>
      </c>
      <c r="D122" s="13">
        <f>(B122+C122)/2</f>
        <v>21.45</v>
      </c>
      <c r="E122" s="28">
        <v>43.23</v>
      </c>
      <c r="F122" s="28">
        <v>25.15</v>
      </c>
      <c r="G122" s="34">
        <v>11</v>
      </c>
      <c r="H122" s="9">
        <v>6.2</v>
      </c>
      <c r="I122" s="9">
        <v>64.400000000000006</v>
      </c>
      <c r="J122" s="9">
        <v>25.2</v>
      </c>
      <c r="K122" s="9">
        <v>9.3000000000000007</v>
      </c>
      <c r="L122" s="13">
        <v>-84.1</v>
      </c>
      <c r="M122" s="13">
        <v>242.1</v>
      </c>
      <c r="N122" s="9">
        <v>25.2</v>
      </c>
      <c r="O122" s="9">
        <v>9.3000000000000007</v>
      </c>
      <c r="P122" s="9" t="s">
        <v>1203</v>
      </c>
      <c r="Q122" s="9" t="s">
        <v>1203</v>
      </c>
      <c r="R122" s="7">
        <v>301</v>
      </c>
      <c r="S122" s="13">
        <v>-86.533721908786802</v>
      </c>
      <c r="T122" s="13">
        <v>236.65000533400899</v>
      </c>
      <c r="U122" s="9">
        <v>18.5127216877511</v>
      </c>
      <c r="V122" s="9">
        <v>-18.676024768687501</v>
      </c>
      <c r="W122" s="9">
        <v>2.6194398000447898</v>
      </c>
      <c r="X122" s="7" t="s">
        <v>1202</v>
      </c>
      <c r="Y122" s="10"/>
      <c r="Z122" s="10"/>
      <c r="AA122" s="10" t="b">
        <v>1</v>
      </c>
      <c r="AB122" s="7">
        <v>0</v>
      </c>
      <c r="AC122" s="14" t="s">
        <v>207</v>
      </c>
      <c r="AD122" s="7"/>
      <c r="AE122" s="7" t="s">
        <v>1369</v>
      </c>
      <c r="AF122" s="10" t="s">
        <v>208</v>
      </c>
      <c r="AG122" s="14"/>
      <c r="AH122" s="10"/>
      <c r="AJ122" s="32"/>
    </row>
    <row r="123" spans="1:36" s="12" customFormat="1" ht="14" customHeight="1" x14ac:dyDescent="0.2">
      <c r="A123" s="14" t="s">
        <v>214</v>
      </c>
      <c r="B123" s="9">
        <v>18</v>
      </c>
      <c r="C123" s="9">
        <v>30</v>
      </c>
      <c r="D123" s="13">
        <v>24</v>
      </c>
      <c r="E123" s="9">
        <v>50.8</v>
      </c>
      <c r="F123" s="9">
        <v>8</v>
      </c>
      <c r="G123" s="34">
        <v>40</v>
      </c>
      <c r="H123" s="9">
        <v>14.1</v>
      </c>
      <c r="I123" s="9">
        <v>62</v>
      </c>
      <c r="J123" s="9">
        <v>27.8</v>
      </c>
      <c r="K123" s="9">
        <v>4.4000000000000004</v>
      </c>
      <c r="L123" s="13">
        <v>-77.8</v>
      </c>
      <c r="M123" s="6">
        <v>310.8</v>
      </c>
      <c r="N123" s="9"/>
      <c r="O123" s="9"/>
      <c r="P123" s="9">
        <v>15.362389292817063</v>
      </c>
      <c r="Q123" s="9">
        <v>5.9628991775020728</v>
      </c>
      <c r="R123" s="7">
        <v>301</v>
      </c>
      <c r="S123" s="13">
        <v>-78.939493340485697</v>
      </c>
      <c r="T123" s="13">
        <v>323.92349945815897</v>
      </c>
      <c r="U123" s="9">
        <v>22.002362037793699</v>
      </c>
      <c r="V123" s="9">
        <v>-17.996458333825199</v>
      </c>
      <c r="W123" s="9">
        <v>2.9310241378150299</v>
      </c>
      <c r="X123" s="7" t="s">
        <v>1202</v>
      </c>
      <c r="Y123" s="10"/>
      <c r="Z123" s="10"/>
      <c r="AA123" s="10" t="b">
        <v>1</v>
      </c>
      <c r="AB123" s="7">
        <v>0</v>
      </c>
      <c r="AC123" s="14" t="s">
        <v>215</v>
      </c>
      <c r="AD123" s="7">
        <v>3282</v>
      </c>
      <c r="AE123" s="7" t="s">
        <v>147</v>
      </c>
      <c r="AF123" s="10" t="s">
        <v>1259</v>
      </c>
      <c r="AG123" s="14" t="s">
        <v>1283</v>
      </c>
      <c r="AH123" s="10"/>
      <c r="AJ123" s="32"/>
    </row>
    <row r="124" spans="1:36" s="12" customFormat="1" ht="14" customHeight="1" x14ac:dyDescent="0.15">
      <c r="A124" s="56" t="s">
        <v>234</v>
      </c>
      <c r="B124" s="54">
        <v>28.3</v>
      </c>
      <c r="C124" s="52">
        <v>32.299999999999997</v>
      </c>
      <c r="D124" s="55">
        <v>29.8</v>
      </c>
      <c r="E124" s="52">
        <v>45.4</v>
      </c>
      <c r="F124" s="52">
        <v>101.2</v>
      </c>
      <c r="G124" s="53">
        <v>26</v>
      </c>
      <c r="H124" s="54">
        <v>1</v>
      </c>
      <c r="I124" s="52">
        <v>45.8</v>
      </c>
      <c r="J124" s="52">
        <v>74.7</v>
      </c>
      <c r="K124" s="52">
        <v>3.3</v>
      </c>
      <c r="L124" s="55">
        <v>-71.8</v>
      </c>
      <c r="M124" s="58">
        <v>98.4</v>
      </c>
      <c r="N124" s="52"/>
      <c r="O124" s="52"/>
      <c r="P124" s="54">
        <v>79.373039570775205</v>
      </c>
      <c r="Q124" s="54">
        <v>3.2019112337935454</v>
      </c>
      <c r="R124" s="52">
        <v>301</v>
      </c>
      <c r="S124" s="55">
        <v>-68.326893661231296</v>
      </c>
      <c r="T124" s="55">
        <v>95.629275070835504</v>
      </c>
      <c r="U124" s="54">
        <v>26.315745748741801</v>
      </c>
      <c r="V124" s="54">
        <v>-19.047925165611598</v>
      </c>
      <c r="W124" s="54">
        <v>4.30953884570821</v>
      </c>
      <c r="X124" s="52" t="s">
        <v>1202</v>
      </c>
      <c r="Y124" s="56"/>
      <c r="Z124" s="56"/>
      <c r="AA124" s="56" t="b">
        <v>0</v>
      </c>
      <c r="AB124" s="52">
        <v>0</v>
      </c>
      <c r="AC124" s="49" t="s">
        <v>172</v>
      </c>
      <c r="AD124" s="52"/>
      <c r="AE124" s="52" t="s">
        <v>1369</v>
      </c>
      <c r="AF124" s="56" t="s">
        <v>235</v>
      </c>
      <c r="AG124" s="49"/>
      <c r="AH124" s="60"/>
      <c r="AJ124" s="32"/>
    </row>
    <row r="125" spans="1:36" s="12" customFormat="1" ht="14" customHeight="1" x14ac:dyDescent="0.2">
      <c r="A125" s="10" t="s">
        <v>246</v>
      </c>
      <c r="B125" s="9">
        <v>30.2</v>
      </c>
      <c r="C125" s="9">
        <v>30.4</v>
      </c>
      <c r="D125" s="13">
        <v>30.3</v>
      </c>
      <c r="E125" s="9">
        <v>44.84</v>
      </c>
      <c r="F125" s="9">
        <v>100.68</v>
      </c>
      <c r="G125" s="34">
        <v>13</v>
      </c>
      <c r="H125" s="9">
        <v>181.4</v>
      </c>
      <c r="I125" s="9">
        <v>-55.7</v>
      </c>
      <c r="J125" s="9">
        <v>25.1</v>
      </c>
      <c r="K125" s="9">
        <v>8.4</v>
      </c>
      <c r="L125" s="13">
        <v>-81.599999999999994</v>
      </c>
      <c r="M125" s="13">
        <v>94.5</v>
      </c>
      <c r="N125" s="9">
        <v>25.1</v>
      </c>
      <c r="O125" s="9">
        <v>8.4</v>
      </c>
      <c r="P125" s="9" t="s">
        <v>1203</v>
      </c>
      <c r="Q125" s="9" t="s">
        <v>1203</v>
      </c>
      <c r="R125" s="7">
        <v>301</v>
      </c>
      <c r="S125" s="13">
        <v>-77.874585390207898</v>
      </c>
      <c r="T125" s="13">
        <v>88.705161847868993</v>
      </c>
      <c r="U125" s="9">
        <v>26.5354596794927</v>
      </c>
      <c r="V125" s="9">
        <v>-19.132756442248098</v>
      </c>
      <c r="W125" s="9">
        <v>4.4422181533688399</v>
      </c>
      <c r="X125" s="7" t="s">
        <v>1202</v>
      </c>
      <c r="Y125" s="10"/>
      <c r="Z125" s="10"/>
      <c r="AA125" s="10" t="b">
        <v>1</v>
      </c>
      <c r="AB125" s="7">
        <v>0</v>
      </c>
      <c r="AC125" s="14" t="s">
        <v>1453</v>
      </c>
      <c r="AD125" s="7"/>
      <c r="AE125" s="7" t="s">
        <v>1369</v>
      </c>
      <c r="AF125" s="10" t="s">
        <v>1209</v>
      </c>
      <c r="AG125" s="14"/>
      <c r="AH125" s="10"/>
      <c r="AJ125" s="32"/>
    </row>
    <row r="126" spans="1:36" s="12" customFormat="1" ht="14" customHeight="1" x14ac:dyDescent="0.2">
      <c r="A126" s="49" t="s">
        <v>251</v>
      </c>
      <c r="B126" s="54">
        <v>23</v>
      </c>
      <c r="C126" s="54">
        <v>45</v>
      </c>
      <c r="D126" s="55">
        <v>34</v>
      </c>
      <c r="E126" s="54">
        <v>50.3</v>
      </c>
      <c r="F126" s="54">
        <v>7</v>
      </c>
      <c r="G126" s="53">
        <v>47</v>
      </c>
      <c r="H126" s="54">
        <v>1</v>
      </c>
      <c r="I126" s="54">
        <v>59.1</v>
      </c>
      <c r="J126" s="54">
        <v>39</v>
      </c>
      <c r="K126" s="54">
        <v>3.4</v>
      </c>
      <c r="L126" s="55">
        <v>-80.8</v>
      </c>
      <c r="M126" s="55">
        <v>2</v>
      </c>
      <c r="N126" s="54">
        <v>25.5</v>
      </c>
      <c r="O126" s="54">
        <v>4.2</v>
      </c>
      <c r="P126" s="54" t="s">
        <v>1203</v>
      </c>
      <c r="Q126" s="54" t="s">
        <v>1203</v>
      </c>
      <c r="R126" s="52">
        <v>301</v>
      </c>
      <c r="S126" s="55">
        <v>-78.065129788082203</v>
      </c>
      <c r="T126" s="55">
        <v>26.189956988382399</v>
      </c>
      <c r="U126" s="54">
        <v>27.7866239187492</v>
      </c>
      <c r="V126" s="54">
        <v>-19.7013107742128</v>
      </c>
      <c r="W126" s="54">
        <v>5.4569440757825403</v>
      </c>
      <c r="X126" s="52" t="s">
        <v>1202</v>
      </c>
      <c r="Y126" s="56"/>
      <c r="Z126" s="56"/>
      <c r="AA126" s="56" t="b">
        <v>1</v>
      </c>
      <c r="AB126" s="52" t="s">
        <v>31</v>
      </c>
      <c r="AC126" s="49" t="s">
        <v>252</v>
      </c>
      <c r="AD126" s="52">
        <v>1506</v>
      </c>
      <c r="AE126" s="52" t="s">
        <v>147</v>
      </c>
      <c r="AF126" s="56" t="s">
        <v>253</v>
      </c>
      <c r="AG126" s="49"/>
      <c r="AH126" s="56" t="s">
        <v>1361</v>
      </c>
      <c r="AJ126" s="32"/>
    </row>
    <row r="127" spans="1:36" s="12" customFormat="1" ht="14" customHeight="1" x14ac:dyDescent="0.2">
      <c r="A127" s="10" t="s">
        <v>266</v>
      </c>
      <c r="B127" s="9">
        <v>38.799999999999997</v>
      </c>
      <c r="C127" s="9">
        <v>40</v>
      </c>
      <c r="D127" s="13">
        <v>39.4</v>
      </c>
      <c r="E127" s="9">
        <v>44.49</v>
      </c>
      <c r="F127" s="9">
        <v>101.34</v>
      </c>
      <c r="G127" s="34">
        <v>7</v>
      </c>
      <c r="H127" s="9">
        <v>188.4</v>
      </c>
      <c r="I127" s="9">
        <v>-52.2</v>
      </c>
      <c r="J127" s="9"/>
      <c r="K127" s="9"/>
      <c r="L127" s="13">
        <v>-76.7</v>
      </c>
      <c r="M127" s="13">
        <v>60.1</v>
      </c>
      <c r="N127" s="9">
        <v>45.1</v>
      </c>
      <c r="O127" s="9">
        <v>9.1</v>
      </c>
      <c r="P127" s="9" t="s">
        <v>1203</v>
      </c>
      <c r="Q127" s="9" t="s">
        <v>1203</v>
      </c>
      <c r="R127" s="7">
        <v>301</v>
      </c>
      <c r="S127" s="13">
        <v>-70.458896968264796</v>
      </c>
      <c r="T127" s="13">
        <v>65.649051608204005</v>
      </c>
      <c r="U127" s="9">
        <v>27.793586497842199</v>
      </c>
      <c r="V127" s="9">
        <v>-21.098101384846899</v>
      </c>
      <c r="W127" s="9">
        <v>7.0937940007284199</v>
      </c>
      <c r="X127" s="7" t="s">
        <v>1202</v>
      </c>
      <c r="Y127" s="10"/>
      <c r="Z127" s="10"/>
      <c r="AA127" s="10" t="b">
        <v>1</v>
      </c>
      <c r="AB127" s="7">
        <v>0</v>
      </c>
      <c r="AC127" s="14" t="s">
        <v>1453</v>
      </c>
      <c r="AD127" s="7"/>
      <c r="AE127" s="7" t="s">
        <v>1369</v>
      </c>
      <c r="AF127" s="10" t="s">
        <v>267</v>
      </c>
      <c r="AG127" s="14"/>
      <c r="AH127" s="10"/>
      <c r="AJ127" s="32"/>
    </row>
    <row r="128" spans="1:36" s="12" customFormat="1" ht="14" customHeight="1" x14ac:dyDescent="0.2">
      <c r="A128" s="14" t="s">
        <v>268</v>
      </c>
      <c r="B128" s="9">
        <v>38.799999999999997</v>
      </c>
      <c r="C128" s="9">
        <v>40</v>
      </c>
      <c r="D128" s="13">
        <v>39.4</v>
      </c>
      <c r="E128" s="9">
        <v>44.5</v>
      </c>
      <c r="F128" s="9">
        <v>101.4</v>
      </c>
      <c r="G128" s="34">
        <v>8</v>
      </c>
      <c r="H128" s="7">
        <v>202.9</v>
      </c>
      <c r="I128" s="7">
        <v>-57.9</v>
      </c>
      <c r="J128" s="7">
        <v>93.5</v>
      </c>
      <c r="K128" s="7">
        <v>5.8</v>
      </c>
      <c r="L128" s="13">
        <v>-71.900000000000006</v>
      </c>
      <c r="M128" s="6">
        <v>22.6</v>
      </c>
      <c r="N128" s="7"/>
      <c r="O128" s="7"/>
      <c r="P128" s="9">
        <v>61.466068467520202</v>
      </c>
      <c r="Q128" s="9">
        <v>7.1209729106845359</v>
      </c>
      <c r="R128" s="7">
        <v>301</v>
      </c>
      <c r="S128" s="13">
        <v>-67.023426243250697</v>
      </c>
      <c r="T128" s="13">
        <v>36.550742243777002</v>
      </c>
      <c r="U128" s="9">
        <v>27.793586497842199</v>
      </c>
      <c r="V128" s="9">
        <v>-21.098101384846899</v>
      </c>
      <c r="W128" s="9">
        <v>7.0937940007284199</v>
      </c>
      <c r="X128" s="7" t="s">
        <v>1202</v>
      </c>
      <c r="Y128" s="10"/>
      <c r="Z128" s="10"/>
      <c r="AA128" s="10" t="b">
        <v>1</v>
      </c>
      <c r="AB128" s="7">
        <v>0</v>
      </c>
      <c r="AC128" s="14" t="s">
        <v>172</v>
      </c>
      <c r="AD128" s="30"/>
      <c r="AE128" s="7" t="s">
        <v>1369</v>
      </c>
      <c r="AF128" s="10" t="s">
        <v>269</v>
      </c>
      <c r="AG128" s="14"/>
      <c r="AH128" s="10"/>
      <c r="AJ128" s="32"/>
    </row>
    <row r="129" spans="1:36" s="12" customFormat="1" ht="14" customHeight="1" x14ac:dyDescent="0.2">
      <c r="A129" s="56" t="s">
        <v>277</v>
      </c>
      <c r="B129" s="54">
        <v>51.5</v>
      </c>
      <c r="C129" s="54">
        <v>52.5</v>
      </c>
      <c r="D129" s="55">
        <v>52</v>
      </c>
      <c r="E129" s="54">
        <v>51.4</v>
      </c>
      <c r="F129" s="54">
        <v>0.87</v>
      </c>
      <c r="G129" s="53">
        <v>9</v>
      </c>
      <c r="H129" s="54">
        <v>1.1000000000000001</v>
      </c>
      <c r="I129" s="54">
        <v>43.2</v>
      </c>
      <c r="J129" s="54">
        <v>58.5</v>
      </c>
      <c r="K129" s="54">
        <v>6.8</v>
      </c>
      <c r="L129" s="55">
        <v>-63.7</v>
      </c>
      <c r="M129" s="55">
        <v>358.6</v>
      </c>
      <c r="N129" s="54">
        <v>58.5</v>
      </c>
      <c r="O129" s="54">
        <v>6.8</v>
      </c>
      <c r="P129" s="71" t="s">
        <v>1203</v>
      </c>
      <c r="Q129" s="71" t="s">
        <v>1203</v>
      </c>
      <c r="R129" s="52">
        <v>301</v>
      </c>
      <c r="S129" s="55">
        <v>-59.786839512958203</v>
      </c>
      <c r="T129" s="55">
        <v>18.160033852838598</v>
      </c>
      <c r="U129" s="54">
        <v>30.424082927702202</v>
      </c>
      <c r="V129" s="54">
        <v>-18.223367023946999</v>
      </c>
      <c r="W129" s="54">
        <v>10.0412621061173</v>
      </c>
      <c r="X129" s="52" t="s">
        <v>1204</v>
      </c>
      <c r="Y129" s="52"/>
      <c r="Z129" s="52"/>
      <c r="AA129" s="56" t="b">
        <v>1</v>
      </c>
      <c r="AB129" s="52" t="s">
        <v>165</v>
      </c>
      <c r="AC129" s="49" t="s">
        <v>278</v>
      </c>
      <c r="AD129" s="59">
        <v>3534</v>
      </c>
      <c r="AE129" s="52" t="s">
        <v>147</v>
      </c>
      <c r="AF129" s="56" t="s">
        <v>1289</v>
      </c>
      <c r="AG129" s="49"/>
      <c r="AH129" s="56"/>
      <c r="AJ129" s="32"/>
    </row>
    <row r="130" spans="1:36" s="12" customFormat="1" ht="14" customHeight="1" x14ac:dyDescent="0.2">
      <c r="A130" s="14" t="s">
        <v>296</v>
      </c>
      <c r="B130" s="7">
        <v>56.3</v>
      </c>
      <c r="C130" s="7">
        <v>57.9</v>
      </c>
      <c r="D130" s="13">
        <v>57.1</v>
      </c>
      <c r="E130" s="7">
        <v>43.2</v>
      </c>
      <c r="F130" s="7">
        <v>104.6</v>
      </c>
      <c r="G130" s="34">
        <v>14</v>
      </c>
      <c r="H130" s="7">
        <v>205.2</v>
      </c>
      <c r="I130" s="7">
        <v>-71.2</v>
      </c>
      <c r="J130" s="7">
        <v>92</v>
      </c>
      <c r="K130" s="7">
        <v>4.2</v>
      </c>
      <c r="L130" s="13">
        <v>-69.599999999999994</v>
      </c>
      <c r="M130" s="6">
        <f>328</f>
        <v>328</v>
      </c>
      <c r="N130" s="7"/>
      <c r="O130" s="7"/>
      <c r="P130" s="9">
        <v>34.865351406032048</v>
      </c>
      <c r="Q130" s="9">
        <v>6.8272659427388058</v>
      </c>
      <c r="R130" s="7">
        <v>301</v>
      </c>
      <c r="S130" s="13">
        <v>-69.194760821645005</v>
      </c>
      <c r="T130" s="13">
        <v>358.804743628854</v>
      </c>
      <c r="U130" s="9">
        <v>30.5017566990254</v>
      </c>
      <c r="V130" s="9">
        <v>-19.002486543030901</v>
      </c>
      <c r="W130" s="9">
        <v>10.9175300555075</v>
      </c>
      <c r="X130" s="7" t="s">
        <v>1202</v>
      </c>
      <c r="Y130" s="10"/>
      <c r="Z130" s="10"/>
      <c r="AA130" s="10" t="b">
        <v>1</v>
      </c>
      <c r="AB130" s="7">
        <v>0</v>
      </c>
      <c r="AC130" s="14" t="s">
        <v>297</v>
      </c>
      <c r="AD130" s="7"/>
      <c r="AE130" s="7" t="s">
        <v>1369</v>
      </c>
      <c r="AF130" s="10" t="s">
        <v>298</v>
      </c>
      <c r="AG130" s="14"/>
      <c r="AH130" s="10"/>
      <c r="AJ130" s="32"/>
    </row>
    <row r="131" spans="1:36" s="17" customFormat="1" ht="14" customHeight="1" x14ac:dyDescent="0.15">
      <c r="A131" s="56" t="s">
        <v>300</v>
      </c>
      <c r="B131" s="54">
        <v>52</v>
      </c>
      <c r="C131" s="54">
        <v>65</v>
      </c>
      <c r="D131" s="55">
        <v>58.5</v>
      </c>
      <c r="E131" s="54">
        <v>57.6</v>
      </c>
      <c r="F131" s="54">
        <v>353.4</v>
      </c>
      <c r="G131" s="53">
        <v>81</v>
      </c>
      <c r="H131" s="54">
        <v>3.4</v>
      </c>
      <c r="I131" s="54">
        <v>65.599999999999994</v>
      </c>
      <c r="J131" s="54">
        <v>20.8</v>
      </c>
      <c r="K131" s="54">
        <v>3.5</v>
      </c>
      <c r="L131" s="55">
        <v>-76</v>
      </c>
      <c r="M131" s="55">
        <v>340</v>
      </c>
      <c r="N131" s="54"/>
      <c r="O131" s="54"/>
      <c r="P131" s="61">
        <v>9.8748166917207971</v>
      </c>
      <c r="Q131" s="61">
        <v>5.278336270721474</v>
      </c>
      <c r="R131" s="52">
        <v>301</v>
      </c>
      <c r="S131" s="55">
        <v>-72.810702313438199</v>
      </c>
      <c r="T131" s="55">
        <v>19.120001390262299</v>
      </c>
      <c r="U131" s="54">
        <v>30.8339360139835</v>
      </c>
      <c r="V131" s="54">
        <v>-18.860378951167402</v>
      </c>
      <c r="W131" s="54">
        <v>11.241462270939</v>
      </c>
      <c r="X131" s="52" t="s">
        <v>1202</v>
      </c>
      <c r="Y131" s="52"/>
      <c r="Z131" s="52"/>
      <c r="AA131" s="56" t="b">
        <v>0</v>
      </c>
      <c r="AB131" s="52" t="s">
        <v>31</v>
      </c>
      <c r="AC131" s="49" t="s">
        <v>301</v>
      </c>
      <c r="AD131" s="52">
        <v>85</v>
      </c>
      <c r="AE131" s="52" t="s">
        <v>147</v>
      </c>
      <c r="AF131" s="56" t="s">
        <v>1300</v>
      </c>
      <c r="AG131" s="56"/>
      <c r="AH131" s="49" t="s">
        <v>1298</v>
      </c>
      <c r="AJ131" s="32"/>
    </row>
    <row r="132" spans="1:36" s="10" customFormat="1" ht="14" customHeight="1" x14ac:dyDescent="0.15">
      <c r="A132" s="56" t="s">
        <v>303</v>
      </c>
      <c r="B132" s="54">
        <v>44</v>
      </c>
      <c r="C132" s="54">
        <v>54</v>
      </c>
      <c r="D132" s="55">
        <v>59</v>
      </c>
      <c r="E132" s="54">
        <v>51.2</v>
      </c>
      <c r="F132" s="54">
        <v>355.3</v>
      </c>
      <c r="G132" s="53">
        <v>48</v>
      </c>
      <c r="H132" s="54">
        <v>3.6</v>
      </c>
      <c r="I132" s="54">
        <v>62.7</v>
      </c>
      <c r="J132" s="54">
        <v>189</v>
      </c>
      <c r="K132" s="54">
        <v>1.5</v>
      </c>
      <c r="L132" s="55">
        <v>-82.6</v>
      </c>
      <c r="M132" s="55">
        <v>335</v>
      </c>
      <c r="N132" s="54"/>
      <c r="O132" s="54"/>
      <c r="P132" s="61">
        <v>101.38655688528902</v>
      </c>
      <c r="Q132" s="61">
        <v>2.0528916635422854</v>
      </c>
      <c r="R132" s="52">
        <v>301</v>
      </c>
      <c r="S132" s="55">
        <v>-78.161847453963304</v>
      </c>
      <c r="T132" s="55">
        <v>35.375943993871601</v>
      </c>
      <c r="U132" s="54">
        <v>30.9900453362389</v>
      </c>
      <c r="V132" s="54">
        <v>-18.737237224958601</v>
      </c>
      <c r="W132" s="54">
        <v>11.3311508852664</v>
      </c>
      <c r="X132" s="52" t="s">
        <v>1202</v>
      </c>
      <c r="Y132" s="52"/>
      <c r="Z132" s="52"/>
      <c r="AA132" s="56" t="b">
        <v>0</v>
      </c>
      <c r="AB132" s="52">
        <v>0</v>
      </c>
      <c r="AC132" s="49" t="s">
        <v>304</v>
      </c>
      <c r="AD132" s="59">
        <v>755</v>
      </c>
      <c r="AE132" s="52" t="s">
        <v>147</v>
      </c>
      <c r="AF132" s="56" t="s">
        <v>1299</v>
      </c>
      <c r="AG132" s="49"/>
      <c r="AH132" s="56"/>
      <c r="AJ132" s="32"/>
    </row>
    <row r="133" spans="1:36" s="12" customFormat="1" ht="14" customHeight="1" x14ac:dyDescent="0.15">
      <c r="A133" s="10" t="s">
        <v>308</v>
      </c>
      <c r="B133" s="9">
        <v>58.8</v>
      </c>
      <c r="C133" s="9">
        <v>60</v>
      </c>
      <c r="D133" s="13">
        <v>59.4</v>
      </c>
      <c r="E133" s="9">
        <v>55.6</v>
      </c>
      <c r="F133" s="9">
        <v>354.8</v>
      </c>
      <c r="G133" s="34">
        <v>413</v>
      </c>
      <c r="H133" s="9">
        <v>359</v>
      </c>
      <c r="I133" s="9">
        <v>65.2</v>
      </c>
      <c r="J133" s="9">
        <v>36.799999999999997</v>
      </c>
      <c r="K133" s="9">
        <v>1.2</v>
      </c>
      <c r="L133" s="13">
        <v>-81.7</v>
      </c>
      <c r="M133" s="13">
        <v>359.8</v>
      </c>
      <c r="N133" s="9"/>
      <c r="O133" s="9"/>
      <c r="P133" s="37">
        <v>17.765450949681135</v>
      </c>
      <c r="Q133" s="37">
        <v>1.688421126475991</v>
      </c>
      <c r="R133" s="7">
        <v>301</v>
      </c>
      <c r="S133" s="13">
        <v>-75.0795801715322</v>
      </c>
      <c r="T133" s="13">
        <v>42.845717501639903</v>
      </c>
      <c r="U133" s="9">
        <v>31.113220549499001</v>
      </c>
      <c r="V133" s="9">
        <v>-18.639059486542401</v>
      </c>
      <c r="W133" s="9">
        <v>11.402949076130801</v>
      </c>
      <c r="X133" s="7" t="s">
        <v>1202</v>
      </c>
      <c r="Y133" s="7"/>
      <c r="Z133" s="7"/>
      <c r="AA133" s="10" t="b">
        <v>1</v>
      </c>
      <c r="AB133" s="7">
        <v>0</v>
      </c>
      <c r="AC133" s="14" t="s">
        <v>309</v>
      </c>
      <c r="AD133" s="7">
        <v>1041</v>
      </c>
      <c r="AE133" s="7" t="s">
        <v>147</v>
      </c>
      <c r="AF133" s="14" t="s">
        <v>1311</v>
      </c>
      <c r="AG133" s="14"/>
      <c r="AH133" s="10"/>
      <c r="AJ133" s="32"/>
    </row>
    <row r="134" spans="1:36" s="12" customFormat="1" ht="14" customHeight="1" x14ac:dyDescent="0.2">
      <c r="A134" s="10" t="s">
        <v>311</v>
      </c>
      <c r="B134" s="9">
        <v>58</v>
      </c>
      <c r="C134" s="9">
        <v>61</v>
      </c>
      <c r="D134" s="13">
        <v>59.5</v>
      </c>
      <c r="E134" s="9">
        <v>55.5</v>
      </c>
      <c r="F134" s="9">
        <v>354.8</v>
      </c>
      <c r="G134" s="34">
        <v>165</v>
      </c>
      <c r="H134" s="9">
        <v>3.7</v>
      </c>
      <c r="I134" s="9">
        <v>64.2</v>
      </c>
      <c r="J134" s="9">
        <v>54.5</v>
      </c>
      <c r="K134" s="9">
        <v>2.82</v>
      </c>
      <c r="L134" s="13">
        <v>-80.2</v>
      </c>
      <c r="M134" s="13">
        <v>339.6</v>
      </c>
      <c r="N134" s="9"/>
      <c r="O134" s="9"/>
      <c r="P134" s="9">
        <v>27.439218881228651</v>
      </c>
      <c r="Q134" s="9">
        <v>2.1329685479331748</v>
      </c>
      <c r="R134" s="7">
        <v>301</v>
      </c>
      <c r="S134" s="13">
        <v>-76.053832243353398</v>
      </c>
      <c r="T134" s="13">
        <v>29.428710139275399</v>
      </c>
      <c r="U134" s="9">
        <v>31.143780150144298</v>
      </c>
      <c r="V134" s="9">
        <v>-18.6145610423515</v>
      </c>
      <c r="W134" s="9">
        <v>11.420905062109499</v>
      </c>
      <c r="X134" s="7" t="s">
        <v>1202</v>
      </c>
      <c r="Y134" s="7"/>
      <c r="Z134" s="7"/>
      <c r="AA134" s="10" t="b">
        <v>1</v>
      </c>
      <c r="AB134" s="7">
        <v>0</v>
      </c>
      <c r="AC134" s="10" t="s">
        <v>312</v>
      </c>
      <c r="AD134" s="30">
        <v>3433</v>
      </c>
      <c r="AE134" s="7" t="s">
        <v>147</v>
      </c>
      <c r="AF134" s="10" t="s">
        <v>1340</v>
      </c>
      <c r="AG134" s="14"/>
      <c r="AH134" s="10"/>
      <c r="AJ134" s="32"/>
    </row>
    <row r="135" spans="1:36" s="12" customFormat="1" ht="14" customHeight="1" x14ac:dyDescent="0.15">
      <c r="A135" s="56" t="s">
        <v>313</v>
      </c>
      <c r="B135" s="54">
        <v>59.4</v>
      </c>
      <c r="C135" s="54">
        <v>60.2</v>
      </c>
      <c r="D135" s="55">
        <v>59.8</v>
      </c>
      <c r="E135" s="54">
        <v>57.1</v>
      </c>
      <c r="F135" s="54">
        <v>354.1</v>
      </c>
      <c r="G135" s="53">
        <v>409</v>
      </c>
      <c r="H135" s="54">
        <v>3.2</v>
      </c>
      <c r="I135" s="54">
        <v>67.099999999999994</v>
      </c>
      <c r="J135" s="54">
        <v>22.5</v>
      </c>
      <c r="K135" s="54">
        <v>1.5</v>
      </c>
      <c r="L135" s="55">
        <v>-82.5</v>
      </c>
      <c r="M135" s="55">
        <v>338</v>
      </c>
      <c r="N135" s="54"/>
      <c r="O135" s="54"/>
      <c r="P135" s="61">
        <v>10.038100023970046</v>
      </c>
      <c r="Q135" s="61">
        <v>2.3107730316712503</v>
      </c>
      <c r="R135" s="52">
        <v>301</v>
      </c>
      <c r="S135" s="55">
        <v>-77.7258547835782</v>
      </c>
      <c r="T135" s="55">
        <v>36.564751467051302</v>
      </c>
      <c r="U135" s="54">
        <v>31.234903663478999</v>
      </c>
      <c r="V135" s="54">
        <v>-18.5411749037082</v>
      </c>
      <c r="W135" s="54">
        <v>11.4747882249409</v>
      </c>
      <c r="X135" s="52" t="s">
        <v>1202</v>
      </c>
      <c r="Y135" s="52"/>
      <c r="Z135" s="52"/>
      <c r="AA135" s="56" t="b">
        <v>0</v>
      </c>
      <c r="AB135" s="52">
        <v>0</v>
      </c>
      <c r="AC135" s="49" t="s">
        <v>314</v>
      </c>
      <c r="AD135" s="52">
        <v>1174</v>
      </c>
      <c r="AE135" s="52" t="s">
        <v>147</v>
      </c>
      <c r="AF135" s="49" t="s">
        <v>1311</v>
      </c>
      <c r="AG135" s="56"/>
      <c r="AH135" s="56"/>
      <c r="AJ135" s="32"/>
    </row>
    <row r="136" spans="1:36" s="12" customFormat="1" ht="14" customHeight="1" x14ac:dyDescent="0.2">
      <c r="A136" s="56" t="s">
        <v>315</v>
      </c>
      <c r="B136" s="54">
        <v>59.4</v>
      </c>
      <c r="C136" s="54">
        <v>60.2</v>
      </c>
      <c r="D136" s="55">
        <v>59.8</v>
      </c>
      <c r="E136" s="54">
        <v>57.42</v>
      </c>
      <c r="F136" s="54">
        <v>353.69</v>
      </c>
      <c r="G136" s="53">
        <v>10</v>
      </c>
      <c r="H136" s="54">
        <v>10.1</v>
      </c>
      <c r="I136" s="54">
        <v>64.8</v>
      </c>
      <c r="J136" s="54">
        <v>20</v>
      </c>
      <c r="K136" s="54">
        <v>5.7</v>
      </c>
      <c r="L136" s="55">
        <v>-77.7</v>
      </c>
      <c r="M136" s="58">
        <v>325.39999999999998</v>
      </c>
      <c r="N136" s="52"/>
      <c r="O136" s="52"/>
      <c r="P136" s="54">
        <v>9.8184502833821341</v>
      </c>
      <c r="Q136" s="54">
        <v>16.230757333633722</v>
      </c>
      <c r="R136" s="52">
        <v>301</v>
      </c>
      <c r="S136" s="55">
        <v>-76.162400362523599</v>
      </c>
      <c r="T136" s="55">
        <v>14.259416110797901</v>
      </c>
      <c r="U136" s="54">
        <v>31.234903663478999</v>
      </c>
      <c r="V136" s="54">
        <v>-18.5411749037082</v>
      </c>
      <c r="W136" s="54">
        <v>11.4747882249409</v>
      </c>
      <c r="X136" s="52" t="s">
        <v>1202</v>
      </c>
      <c r="Y136" s="56"/>
      <c r="Z136" s="56"/>
      <c r="AA136" s="56" t="b">
        <v>1</v>
      </c>
      <c r="AB136" s="52" t="s">
        <v>31</v>
      </c>
      <c r="AC136" s="49" t="s">
        <v>316</v>
      </c>
      <c r="AD136" s="52"/>
      <c r="AE136" s="52" t="s">
        <v>147</v>
      </c>
      <c r="AF136" s="49" t="s">
        <v>1311</v>
      </c>
      <c r="AG136" s="49"/>
      <c r="AH136" s="56" t="s">
        <v>1377</v>
      </c>
      <c r="AJ136" s="32"/>
    </row>
    <row r="137" spans="1:36" s="17" customFormat="1" ht="14" customHeight="1" x14ac:dyDescent="0.15">
      <c r="A137" s="10" t="s">
        <v>317</v>
      </c>
      <c r="B137" s="9">
        <v>59.6</v>
      </c>
      <c r="C137" s="9">
        <v>60.4</v>
      </c>
      <c r="D137" s="13">
        <v>60</v>
      </c>
      <c r="E137" s="9">
        <v>56.7</v>
      </c>
      <c r="F137" s="9">
        <v>353.8</v>
      </c>
      <c r="G137" s="34">
        <v>62</v>
      </c>
      <c r="H137" s="9">
        <v>0</v>
      </c>
      <c r="I137" s="9">
        <v>63</v>
      </c>
      <c r="J137" s="9">
        <v>44.9</v>
      </c>
      <c r="K137" s="9">
        <v>2.7</v>
      </c>
      <c r="L137" s="13">
        <v>-77</v>
      </c>
      <c r="M137" s="13">
        <v>355</v>
      </c>
      <c r="N137" s="9"/>
      <c r="O137" s="9"/>
      <c r="P137" s="37">
        <v>23.781782327530891</v>
      </c>
      <c r="Q137" s="37">
        <v>3.7772724920168819</v>
      </c>
      <c r="R137" s="7">
        <v>301</v>
      </c>
      <c r="S137" s="13">
        <v>-71.651332694052897</v>
      </c>
      <c r="T137" s="13">
        <v>31.2534637953455</v>
      </c>
      <c r="U137" s="9">
        <v>31.2951941185385</v>
      </c>
      <c r="V137" s="9">
        <v>-18.492341076251201</v>
      </c>
      <c r="W137" s="9">
        <v>11.5107228521516</v>
      </c>
      <c r="X137" s="7" t="s">
        <v>1202</v>
      </c>
      <c r="Y137" s="10"/>
      <c r="Z137" s="10"/>
      <c r="AA137" s="10" t="b">
        <v>1</v>
      </c>
      <c r="AB137" s="7">
        <v>0</v>
      </c>
      <c r="AC137" s="14" t="s">
        <v>318</v>
      </c>
      <c r="AD137" s="7">
        <v>1377</v>
      </c>
      <c r="AE137" s="7" t="s">
        <v>147</v>
      </c>
      <c r="AF137" s="14" t="s">
        <v>1312</v>
      </c>
      <c r="AG137" s="16"/>
      <c r="AH137" s="10"/>
      <c r="AJ137" s="32"/>
    </row>
    <row r="138" spans="1:36" s="17" customFormat="1" ht="14" customHeight="1" x14ac:dyDescent="0.15">
      <c r="A138" s="10" t="s">
        <v>319</v>
      </c>
      <c r="B138" s="9">
        <v>59.5</v>
      </c>
      <c r="C138" s="9">
        <v>60.7</v>
      </c>
      <c r="D138" s="13">
        <v>60.1</v>
      </c>
      <c r="E138" s="9">
        <v>61.9</v>
      </c>
      <c r="F138" s="9">
        <v>353.1</v>
      </c>
      <c r="G138" s="34">
        <v>43</v>
      </c>
      <c r="H138" s="9">
        <v>7.7</v>
      </c>
      <c r="I138" s="9">
        <v>60.9</v>
      </c>
      <c r="J138" s="9">
        <v>24.5</v>
      </c>
      <c r="K138" s="9">
        <v>4.5</v>
      </c>
      <c r="L138" s="13">
        <v>-71.400000000000006</v>
      </c>
      <c r="M138" s="6">
        <v>334.7</v>
      </c>
      <c r="N138" s="9">
        <v>14.2</v>
      </c>
      <c r="O138" s="9">
        <v>6</v>
      </c>
      <c r="P138" s="9" t="s">
        <v>1203</v>
      </c>
      <c r="Q138" s="9" t="s">
        <v>1203</v>
      </c>
      <c r="R138" s="7">
        <v>301</v>
      </c>
      <c r="S138" s="13">
        <v>-69.628549888834598</v>
      </c>
      <c r="T138" s="13">
        <v>8.4397804059364994</v>
      </c>
      <c r="U138" s="9">
        <v>31.325203023107601</v>
      </c>
      <c r="V138" s="9">
        <v>-18.467951024978898</v>
      </c>
      <c r="W138" s="9">
        <v>11.528693876190699</v>
      </c>
      <c r="X138" s="7" t="s">
        <v>1202</v>
      </c>
      <c r="Y138" s="10"/>
      <c r="Z138" s="10"/>
      <c r="AA138" s="10" t="b">
        <v>1</v>
      </c>
      <c r="AB138" s="7">
        <v>0</v>
      </c>
      <c r="AC138" s="14" t="s">
        <v>320</v>
      </c>
      <c r="AD138" s="7">
        <v>3494</v>
      </c>
      <c r="AE138" s="7" t="s">
        <v>147</v>
      </c>
      <c r="AF138" s="14" t="s">
        <v>1311</v>
      </c>
      <c r="AG138" s="16"/>
      <c r="AH138" s="10"/>
      <c r="AJ138" s="32"/>
    </row>
    <row r="139" spans="1:36" s="12" customFormat="1" ht="14" customHeight="1" x14ac:dyDescent="0.2">
      <c r="A139" s="10" t="s">
        <v>328</v>
      </c>
      <c r="B139" s="9">
        <v>59.7</v>
      </c>
      <c r="C139" s="9">
        <v>61.7</v>
      </c>
      <c r="D139" s="13">
        <v>60.7</v>
      </c>
      <c r="E139" s="9">
        <v>57</v>
      </c>
      <c r="F139" s="9">
        <v>353.5</v>
      </c>
      <c r="G139" s="34">
        <v>107</v>
      </c>
      <c r="H139" s="9">
        <v>358.7</v>
      </c>
      <c r="I139" s="9">
        <v>65.900000000000006</v>
      </c>
      <c r="J139" s="9">
        <v>33.5</v>
      </c>
      <c r="K139" s="9">
        <v>2.4</v>
      </c>
      <c r="L139" s="13">
        <v>-81</v>
      </c>
      <c r="M139" s="13">
        <v>359</v>
      </c>
      <c r="N139" s="9"/>
      <c r="O139" s="9"/>
      <c r="P139" s="9">
        <v>15.706496854658019</v>
      </c>
      <c r="Q139" s="9">
        <v>3.5600018900221979</v>
      </c>
      <c r="R139" s="7">
        <v>301</v>
      </c>
      <c r="S139" s="13">
        <v>-74.483546776078597</v>
      </c>
      <c r="T139" s="13">
        <v>41.482350755263703</v>
      </c>
      <c r="U139" s="9">
        <v>31.503373583040599</v>
      </c>
      <c r="V139" s="9">
        <v>-18.321982303237899</v>
      </c>
      <c r="W139" s="9">
        <v>11.6365710344405</v>
      </c>
      <c r="X139" s="7" t="s">
        <v>1202</v>
      </c>
      <c r="Y139" s="10"/>
      <c r="Z139" s="10"/>
      <c r="AA139" s="10" t="b">
        <v>1</v>
      </c>
      <c r="AB139" s="7">
        <v>0</v>
      </c>
      <c r="AC139" s="14" t="s">
        <v>329</v>
      </c>
      <c r="AD139" s="7">
        <v>1169</v>
      </c>
      <c r="AE139" s="7" t="s">
        <v>147</v>
      </c>
      <c r="AF139" s="14" t="s">
        <v>1307</v>
      </c>
      <c r="AG139" s="39"/>
      <c r="AH139" s="10"/>
      <c r="AJ139" s="32"/>
    </row>
    <row r="140" spans="1:36" s="12" customFormat="1" ht="14" customHeight="1" x14ac:dyDescent="0.2">
      <c r="A140" s="10" t="s">
        <v>330</v>
      </c>
      <c r="B140" s="9">
        <v>59.72</v>
      </c>
      <c r="C140" s="9">
        <v>62.04</v>
      </c>
      <c r="D140" s="13">
        <v>60.88</v>
      </c>
      <c r="E140" s="9">
        <v>56.25</v>
      </c>
      <c r="F140" s="9">
        <v>353.9</v>
      </c>
      <c r="G140" s="34">
        <v>26</v>
      </c>
      <c r="H140" s="9">
        <v>2.9</v>
      </c>
      <c r="I140" s="9">
        <v>58.9</v>
      </c>
      <c r="J140" s="9">
        <v>36.9</v>
      </c>
      <c r="K140" s="9">
        <v>4.7</v>
      </c>
      <c r="L140" s="13">
        <v>-73.3</v>
      </c>
      <c r="M140" s="6">
        <v>346.2</v>
      </c>
      <c r="N140" s="9"/>
      <c r="O140" s="9"/>
      <c r="P140" s="9">
        <v>23.25591300168055</v>
      </c>
      <c r="Q140" s="9">
        <v>6.0068103538837319</v>
      </c>
      <c r="R140" s="7">
        <v>301</v>
      </c>
      <c r="S140" s="13">
        <v>-69.544009165665699</v>
      </c>
      <c r="T140" s="13">
        <v>20.183025537260701</v>
      </c>
      <c r="U140" s="9">
        <v>31.5562035897755</v>
      </c>
      <c r="V140" s="9">
        <v>-18.278314455490801</v>
      </c>
      <c r="W140" s="9">
        <v>11.668950935242099</v>
      </c>
      <c r="X140" s="7" t="s">
        <v>1202</v>
      </c>
      <c r="Y140" s="10"/>
      <c r="Z140" s="10"/>
      <c r="AA140" s="10" t="b">
        <v>1</v>
      </c>
      <c r="AB140" s="7">
        <v>0</v>
      </c>
      <c r="AC140" s="14" t="s">
        <v>331</v>
      </c>
      <c r="AD140" s="7"/>
      <c r="AE140" s="7" t="s">
        <v>147</v>
      </c>
      <c r="AF140" s="14" t="s">
        <v>1308</v>
      </c>
      <c r="AG140" s="39"/>
      <c r="AH140" s="10"/>
      <c r="AJ140" s="32"/>
    </row>
    <row r="141" spans="1:36" s="17" customFormat="1" ht="14" customHeight="1" x14ac:dyDescent="0.15">
      <c r="A141" s="10" t="s">
        <v>334</v>
      </c>
      <c r="B141" s="9">
        <v>59.6</v>
      </c>
      <c r="C141" s="9">
        <v>62.6</v>
      </c>
      <c r="D141" s="13">
        <v>61.1</v>
      </c>
      <c r="E141" s="9">
        <v>54.88</v>
      </c>
      <c r="F141" s="9">
        <v>353.91</v>
      </c>
      <c r="G141" s="34">
        <v>37</v>
      </c>
      <c r="H141" s="9">
        <v>1.3</v>
      </c>
      <c r="I141" s="9">
        <v>61.3</v>
      </c>
      <c r="J141" s="9">
        <v>25.6</v>
      </c>
      <c r="K141" s="9">
        <v>4.7</v>
      </c>
      <c r="L141" s="13">
        <v>-78.900000000000006</v>
      </c>
      <c r="M141" s="13">
        <v>347</v>
      </c>
      <c r="N141" s="9">
        <v>15</v>
      </c>
      <c r="O141" s="9">
        <v>6.3</v>
      </c>
      <c r="P141" s="9" t="s">
        <v>1203</v>
      </c>
      <c r="Q141" s="9" t="s">
        <v>1203</v>
      </c>
      <c r="R141" s="7">
        <v>301</v>
      </c>
      <c r="S141" s="13">
        <v>-74.086409744667193</v>
      </c>
      <c r="T141" s="13">
        <v>30.841062561029698</v>
      </c>
      <c r="U141" s="9">
        <v>31.6203900522741</v>
      </c>
      <c r="V141" s="9">
        <v>-18.225018574268098</v>
      </c>
      <c r="W141" s="9">
        <v>11.7085366599484</v>
      </c>
      <c r="X141" s="7" t="s">
        <v>1202</v>
      </c>
      <c r="Y141" s="10"/>
      <c r="Z141" s="10"/>
      <c r="AA141" s="10" t="b">
        <v>1</v>
      </c>
      <c r="AB141" s="7">
        <v>0</v>
      </c>
      <c r="AC141" s="14" t="s">
        <v>335</v>
      </c>
      <c r="AD141" s="7"/>
      <c r="AE141" s="7" t="s">
        <v>147</v>
      </c>
      <c r="AF141" s="14" t="s">
        <v>1309</v>
      </c>
      <c r="AG141" s="16"/>
      <c r="AH141" s="10"/>
      <c r="AJ141" s="32"/>
    </row>
    <row r="142" spans="1:36" s="12" customFormat="1" ht="14" customHeight="1" x14ac:dyDescent="0.15">
      <c r="A142" s="14" t="s">
        <v>336</v>
      </c>
      <c r="B142" s="9">
        <v>60.89</v>
      </c>
      <c r="C142" s="9">
        <v>61.41</v>
      </c>
      <c r="D142" s="13">
        <v>61.15</v>
      </c>
      <c r="E142" s="9">
        <v>56.9</v>
      </c>
      <c r="F142" s="9">
        <v>353.8</v>
      </c>
      <c r="G142" s="34">
        <v>133</v>
      </c>
      <c r="H142" s="9">
        <v>1</v>
      </c>
      <c r="I142" s="9">
        <v>59.9</v>
      </c>
      <c r="J142" s="9">
        <v>21.5</v>
      </c>
      <c r="K142" s="9">
        <v>2.7</v>
      </c>
      <c r="L142" s="13">
        <v>-74</v>
      </c>
      <c r="M142" s="13">
        <v>351</v>
      </c>
      <c r="N142" s="9"/>
      <c r="O142" s="9"/>
      <c r="P142" s="9">
        <v>12.988543358935932</v>
      </c>
      <c r="Q142" s="9">
        <v>3.5316807836451236</v>
      </c>
      <c r="R142" s="7">
        <v>301</v>
      </c>
      <c r="S142" s="13">
        <v>-69.484588336765995</v>
      </c>
      <c r="T142" s="13">
        <v>24.6513050173488</v>
      </c>
      <c r="U142" s="9">
        <v>31.634919438655601</v>
      </c>
      <c r="V142" s="9">
        <v>-18.212917453516699</v>
      </c>
      <c r="W142" s="9">
        <v>11.717534979905199</v>
      </c>
      <c r="X142" s="7" t="s">
        <v>1202</v>
      </c>
      <c r="Y142" s="10"/>
      <c r="Z142" s="10"/>
      <c r="AA142" s="10" t="b">
        <v>1</v>
      </c>
      <c r="AB142" s="7">
        <v>0</v>
      </c>
      <c r="AC142" s="14" t="s">
        <v>337</v>
      </c>
      <c r="AD142" s="7">
        <v>1204</v>
      </c>
      <c r="AE142" s="7" t="s">
        <v>147</v>
      </c>
      <c r="AF142" s="14" t="s">
        <v>1310</v>
      </c>
      <c r="AG142" s="16"/>
      <c r="AH142" s="10"/>
      <c r="AJ142" s="32"/>
    </row>
    <row r="143" spans="1:36" s="12" customFormat="1" ht="14" customHeight="1" x14ac:dyDescent="0.2">
      <c r="A143" s="14" t="s">
        <v>338</v>
      </c>
      <c r="B143" s="9">
        <f>62.1-5.9</f>
        <v>56.2</v>
      </c>
      <c r="C143" s="9">
        <f>62.1+5.9</f>
        <v>68</v>
      </c>
      <c r="D143" s="13">
        <v>62.1</v>
      </c>
      <c r="E143" s="30">
        <v>42.6</v>
      </c>
      <c r="F143" s="30">
        <v>104</v>
      </c>
      <c r="G143" s="34">
        <v>14</v>
      </c>
      <c r="H143" s="7">
        <v>358.7</v>
      </c>
      <c r="I143" s="7">
        <v>65.099999999999994</v>
      </c>
      <c r="J143" s="7">
        <v>175.4</v>
      </c>
      <c r="K143" s="7">
        <v>3</v>
      </c>
      <c r="L143" s="6">
        <v>-85.2</v>
      </c>
      <c r="M143" s="6">
        <v>272.5</v>
      </c>
      <c r="N143" s="7"/>
      <c r="O143" s="7"/>
      <c r="P143" s="9">
        <v>85.030981401652127</v>
      </c>
      <c r="Q143" s="9">
        <v>4.3353539574806002</v>
      </c>
      <c r="R143" s="7">
        <v>301</v>
      </c>
      <c r="S143" s="13">
        <v>-83.996751075786094</v>
      </c>
      <c r="T143" s="13">
        <v>56.457916988328002</v>
      </c>
      <c r="U143" s="9">
        <v>31.906938471253302</v>
      </c>
      <c r="V143" s="9">
        <v>-17.983798035487201</v>
      </c>
      <c r="W143" s="9">
        <v>11.8886104683331</v>
      </c>
      <c r="X143" s="7" t="s">
        <v>1202</v>
      </c>
      <c r="Y143" s="10"/>
      <c r="Z143" s="10"/>
      <c r="AA143" s="10" t="b">
        <v>1</v>
      </c>
      <c r="AB143" s="7">
        <v>0</v>
      </c>
      <c r="AC143" s="14" t="s">
        <v>297</v>
      </c>
      <c r="AD143" s="7"/>
      <c r="AE143" s="7" t="s">
        <v>1369</v>
      </c>
      <c r="AF143" s="10" t="s">
        <v>339</v>
      </c>
      <c r="AG143" s="14"/>
      <c r="AH143" s="10"/>
      <c r="AJ143" s="32"/>
    </row>
    <row r="144" spans="1:36" s="17" customFormat="1" ht="14" customHeight="1" x14ac:dyDescent="0.2">
      <c r="A144" s="56" t="s">
        <v>374</v>
      </c>
      <c r="B144" s="54">
        <v>64</v>
      </c>
      <c r="C144" s="54">
        <v>72</v>
      </c>
      <c r="D144" s="55">
        <v>68</v>
      </c>
      <c r="E144" s="54">
        <v>43.5</v>
      </c>
      <c r="F144" s="54">
        <v>5.5</v>
      </c>
      <c r="G144" s="53">
        <v>110</v>
      </c>
      <c r="H144" s="54">
        <v>4.5999999999999996</v>
      </c>
      <c r="I144" s="54">
        <v>52.5</v>
      </c>
      <c r="J144" s="54">
        <v>16.600000000000001</v>
      </c>
      <c r="K144" s="54">
        <v>3.4</v>
      </c>
      <c r="L144" s="55">
        <v>-80.2</v>
      </c>
      <c r="M144" s="55">
        <v>340.1</v>
      </c>
      <c r="N144" s="54">
        <v>12.6</v>
      </c>
      <c r="O144" s="54">
        <v>3.9</v>
      </c>
      <c r="P144" s="71" t="s">
        <v>1203</v>
      </c>
      <c r="Q144" s="71" t="s">
        <v>1203</v>
      </c>
      <c r="R144" s="59">
        <v>301</v>
      </c>
      <c r="S144" s="55">
        <v>-75.251807860745402</v>
      </c>
      <c r="T144" s="55">
        <v>34.741027808318499</v>
      </c>
      <c r="U144" s="54">
        <v>32.913189560249798</v>
      </c>
      <c r="V144" s="54">
        <v>-16.8689603024775</v>
      </c>
      <c r="W144" s="54">
        <v>13.091736495799699</v>
      </c>
      <c r="X144" s="54" t="s">
        <v>1204</v>
      </c>
      <c r="Y144" s="62"/>
      <c r="Z144" s="62"/>
      <c r="AA144" s="56" t="b">
        <v>1</v>
      </c>
      <c r="AB144" s="52" t="s">
        <v>165</v>
      </c>
      <c r="AC144" s="49" t="s">
        <v>375</v>
      </c>
      <c r="AD144" s="52"/>
      <c r="AE144" s="52" t="s">
        <v>147</v>
      </c>
      <c r="AF144" s="56" t="s">
        <v>164</v>
      </c>
      <c r="AG144" s="49"/>
      <c r="AH144" s="56"/>
      <c r="AJ144" s="32"/>
    </row>
    <row r="145" spans="1:36" s="12" customFormat="1" ht="14" customHeight="1" x14ac:dyDescent="0.2">
      <c r="A145" s="56" t="s">
        <v>389</v>
      </c>
      <c r="B145" s="54">
        <v>62</v>
      </c>
      <c r="C145" s="54">
        <v>84</v>
      </c>
      <c r="D145" s="55">
        <v>73</v>
      </c>
      <c r="E145" s="54">
        <v>43.5</v>
      </c>
      <c r="F145" s="54">
        <v>5.5</v>
      </c>
      <c r="G145" s="53">
        <v>10</v>
      </c>
      <c r="H145" s="54">
        <v>9.5</v>
      </c>
      <c r="I145" s="54">
        <v>46.8</v>
      </c>
      <c r="J145" s="54">
        <v>33.200000000000003</v>
      </c>
      <c r="K145" s="54">
        <v>8.3000000000000007</v>
      </c>
      <c r="L145" s="55">
        <v>-73</v>
      </c>
      <c r="M145" s="55">
        <v>336</v>
      </c>
      <c r="N145" s="54">
        <v>23.8</v>
      </c>
      <c r="O145" s="54">
        <v>10</v>
      </c>
      <c r="P145" s="54" t="s">
        <v>1203</v>
      </c>
      <c r="Q145" s="54" t="s">
        <v>1203</v>
      </c>
      <c r="R145" s="52">
        <v>301</v>
      </c>
      <c r="S145" s="55">
        <v>-70.199906965709104</v>
      </c>
      <c r="T145" s="55">
        <v>17.504643643170599</v>
      </c>
      <c r="U145" s="54">
        <v>33.022691141002902</v>
      </c>
      <c r="V145" s="54">
        <v>-16.743560432668801</v>
      </c>
      <c r="W145" s="54">
        <v>13.650035073232999</v>
      </c>
      <c r="X145" s="52" t="s">
        <v>217</v>
      </c>
      <c r="Y145" s="56"/>
      <c r="Z145" s="56"/>
      <c r="AA145" s="56" t="b">
        <v>1</v>
      </c>
      <c r="AB145" s="52" t="s">
        <v>31</v>
      </c>
      <c r="AC145" s="49" t="s">
        <v>390</v>
      </c>
      <c r="AD145" s="52">
        <v>2393</v>
      </c>
      <c r="AE145" s="52" t="s">
        <v>147</v>
      </c>
      <c r="AF145" s="56" t="s">
        <v>391</v>
      </c>
      <c r="AG145" s="49"/>
      <c r="AH145" s="56" t="s">
        <v>1361</v>
      </c>
      <c r="AJ145" s="32"/>
    </row>
    <row r="146" spans="1:36" s="17" customFormat="1" ht="14" customHeight="1" x14ac:dyDescent="0.2">
      <c r="A146" s="56" t="s">
        <v>392</v>
      </c>
      <c r="B146" s="54">
        <v>66.38</v>
      </c>
      <c r="C146" s="54">
        <v>79.900000000000006</v>
      </c>
      <c r="D146" s="55">
        <f>(B146+C146)/2</f>
        <v>73.14</v>
      </c>
      <c r="E146" s="54">
        <v>50.71</v>
      </c>
      <c r="F146" s="54">
        <v>45.65</v>
      </c>
      <c r="G146" s="53">
        <v>150</v>
      </c>
      <c r="H146" s="54">
        <v>358</v>
      </c>
      <c r="I146" s="54">
        <v>73.599999999999994</v>
      </c>
      <c r="J146" s="54">
        <v>24.6</v>
      </c>
      <c r="K146" s="54">
        <v>2.4</v>
      </c>
      <c r="L146" s="55">
        <v>-79.599999999999994</v>
      </c>
      <c r="M146" s="55">
        <v>220.8</v>
      </c>
      <c r="N146" s="54">
        <v>11.6</v>
      </c>
      <c r="O146" s="54">
        <v>3.5</v>
      </c>
      <c r="P146" s="71" t="s">
        <v>1203</v>
      </c>
      <c r="Q146" s="71" t="s">
        <v>1203</v>
      </c>
      <c r="R146" s="52">
        <v>301</v>
      </c>
      <c r="S146" s="55">
        <v>-72.217286627761297</v>
      </c>
      <c r="T146" s="55">
        <v>93.624218371568304</v>
      </c>
      <c r="U146" s="54">
        <v>33.172689418392103</v>
      </c>
      <c r="V146" s="54">
        <v>-16.619596861942799</v>
      </c>
      <c r="W146" s="54">
        <v>13.715174480788299</v>
      </c>
      <c r="X146" s="52" t="s">
        <v>1204</v>
      </c>
      <c r="Y146" s="52">
        <v>0.57999999999999996</v>
      </c>
      <c r="Z146" s="52">
        <v>7.6</v>
      </c>
      <c r="AA146" s="52" t="s">
        <v>211</v>
      </c>
      <c r="AB146" s="52" t="s">
        <v>211</v>
      </c>
      <c r="AC146" s="49" t="s">
        <v>393</v>
      </c>
      <c r="AD146" s="52"/>
      <c r="AE146" s="52" t="s">
        <v>1369</v>
      </c>
      <c r="AF146" s="56" t="s">
        <v>394</v>
      </c>
      <c r="AG146" s="49"/>
      <c r="AH146" s="56"/>
      <c r="AJ146" s="32"/>
    </row>
    <row r="147" spans="1:36" s="12" customFormat="1" ht="14" customHeight="1" x14ac:dyDescent="0.15">
      <c r="A147" s="14" t="s">
        <v>398</v>
      </c>
      <c r="B147" s="9">
        <v>74</v>
      </c>
      <c r="C147" s="9">
        <v>79</v>
      </c>
      <c r="D147" s="13">
        <v>76.5</v>
      </c>
      <c r="E147" s="9">
        <v>55</v>
      </c>
      <c r="F147" s="9">
        <v>99.2</v>
      </c>
      <c r="G147" s="34">
        <v>16</v>
      </c>
      <c r="H147" s="9">
        <v>11.9</v>
      </c>
      <c r="I147" s="9">
        <v>69</v>
      </c>
      <c r="J147" s="9">
        <v>90.8</v>
      </c>
      <c r="K147" s="9">
        <v>3.9</v>
      </c>
      <c r="L147" s="13">
        <v>-82.8</v>
      </c>
      <c r="M147" s="13">
        <v>8.5</v>
      </c>
      <c r="N147" s="9">
        <v>37.5</v>
      </c>
      <c r="O147" s="9">
        <v>6.1</v>
      </c>
      <c r="P147" s="37" t="s">
        <v>1203</v>
      </c>
      <c r="Q147" s="37" t="s">
        <v>1203</v>
      </c>
      <c r="R147" s="7">
        <v>301</v>
      </c>
      <c r="S147" s="13">
        <v>-73.288785199059902</v>
      </c>
      <c r="T147" s="13">
        <v>55.1493922768245</v>
      </c>
      <c r="U147" s="9">
        <v>33.8142567693872</v>
      </c>
      <c r="V147" s="9">
        <v>-16.485724127236999</v>
      </c>
      <c r="W147" s="9">
        <v>14.461626608665499</v>
      </c>
      <c r="X147" s="7" t="s">
        <v>1202</v>
      </c>
      <c r="Y147" s="10"/>
      <c r="Z147" s="10"/>
      <c r="AA147" s="7" t="b">
        <v>1</v>
      </c>
      <c r="AB147" s="7">
        <v>0</v>
      </c>
      <c r="AC147" s="14" t="s">
        <v>399</v>
      </c>
      <c r="AD147" s="7"/>
      <c r="AE147" s="7" t="s">
        <v>1369</v>
      </c>
      <c r="AF147" s="10" t="s">
        <v>400</v>
      </c>
      <c r="AG147" s="14"/>
      <c r="AH147" s="10"/>
      <c r="AJ147" s="32"/>
    </row>
    <row r="148" spans="1:36" s="17" customFormat="1" ht="14" customHeight="1" x14ac:dyDescent="0.2">
      <c r="A148" s="56" t="s">
        <v>413</v>
      </c>
      <c r="B148" s="54">
        <v>72.099999999999994</v>
      </c>
      <c r="C148" s="54">
        <v>100.5</v>
      </c>
      <c r="D148" s="55">
        <v>86</v>
      </c>
      <c r="E148" s="54">
        <v>42.4</v>
      </c>
      <c r="F148" s="54">
        <v>46.9</v>
      </c>
      <c r="G148" s="53">
        <v>29</v>
      </c>
      <c r="H148" s="54">
        <v>20</v>
      </c>
      <c r="I148" s="54">
        <v>57</v>
      </c>
      <c r="J148" s="54">
        <v>66</v>
      </c>
      <c r="K148" s="54">
        <v>3.2</v>
      </c>
      <c r="L148" s="55">
        <v>-74</v>
      </c>
      <c r="M148" s="55">
        <v>327.7</v>
      </c>
      <c r="N148" s="54"/>
      <c r="O148" s="54"/>
      <c r="P148" s="54">
        <v>45.058185811353681</v>
      </c>
      <c r="Q148" s="54">
        <v>4.0301050763584252</v>
      </c>
      <c r="R148" s="52">
        <v>301</v>
      </c>
      <c r="S148" s="55">
        <v>-70.036502885131696</v>
      </c>
      <c r="T148" s="55">
        <v>29.255839437626101</v>
      </c>
      <c r="U148" s="54">
        <v>37.020744578064303</v>
      </c>
      <c r="V148" s="54">
        <v>-14.547491575048401</v>
      </c>
      <c r="W148" s="54">
        <v>19.920036583093999</v>
      </c>
      <c r="X148" s="52" t="s">
        <v>1204</v>
      </c>
      <c r="Y148" s="56"/>
      <c r="Z148" s="56"/>
      <c r="AA148" s="56" t="b">
        <v>1</v>
      </c>
      <c r="AB148" s="52" t="s">
        <v>165</v>
      </c>
      <c r="AC148" s="49" t="s">
        <v>414</v>
      </c>
      <c r="AD148" s="52">
        <v>3037</v>
      </c>
      <c r="AE148" s="52" t="s">
        <v>147</v>
      </c>
      <c r="AF148" s="56" t="s">
        <v>1350</v>
      </c>
      <c r="AG148" s="49"/>
      <c r="AH148" s="56" t="s">
        <v>1361</v>
      </c>
      <c r="AJ148" s="32"/>
    </row>
    <row r="149" spans="1:36" s="12" customFormat="1" ht="14" customHeight="1" x14ac:dyDescent="0.2">
      <c r="A149" s="56" t="s">
        <v>413</v>
      </c>
      <c r="B149" s="54">
        <v>72.099999999999994</v>
      </c>
      <c r="C149" s="54">
        <v>100.5</v>
      </c>
      <c r="D149" s="55">
        <v>86</v>
      </c>
      <c r="E149" s="54">
        <v>42.6</v>
      </c>
      <c r="F149" s="54">
        <v>46.7</v>
      </c>
      <c r="G149" s="53">
        <v>36</v>
      </c>
      <c r="H149" s="54">
        <v>18</v>
      </c>
      <c r="I149" s="54">
        <v>54</v>
      </c>
      <c r="J149" s="54">
        <v>87</v>
      </c>
      <c r="K149" s="54">
        <v>2.5</v>
      </c>
      <c r="L149" s="55">
        <v>-73.8</v>
      </c>
      <c r="M149" s="55">
        <v>340.6</v>
      </c>
      <c r="N149" s="54"/>
      <c r="O149" s="54"/>
      <c r="P149" s="54">
        <v>67.247769384996005</v>
      </c>
      <c r="Q149" s="54">
        <v>2.9340534694624445</v>
      </c>
      <c r="R149" s="52">
        <v>301</v>
      </c>
      <c r="S149" s="55">
        <v>-67.233826527251594</v>
      </c>
      <c r="T149" s="55">
        <v>35.367043482760799</v>
      </c>
      <c r="U149" s="54">
        <v>37.020744578064303</v>
      </c>
      <c r="V149" s="54">
        <v>-14.547491575048401</v>
      </c>
      <c r="W149" s="54">
        <v>19.920036583093999</v>
      </c>
      <c r="X149" s="52" t="s">
        <v>1204</v>
      </c>
      <c r="Y149" s="56"/>
      <c r="Z149" s="56"/>
      <c r="AA149" s="56" t="b">
        <v>1</v>
      </c>
      <c r="AB149" s="52" t="s">
        <v>165</v>
      </c>
      <c r="AC149" s="49" t="s">
        <v>414</v>
      </c>
      <c r="AD149" s="52">
        <v>3037</v>
      </c>
      <c r="AE149" s="52" t="s">
        <v>147</v>
      </c>
      <c r="AF149" s="56" t="s">
        <v>1350</v>
      </c>
      <c r="AG149" s="49" t="s">
        <v>1379</v>
      </c>
      <c r="AH149" s="56" t="s">
        <v>1361</v>
      </c>
      <c r="AJ149" s="32"/>
    </row>
    <row r="150" spans="1:36" s="12" customFormat="1" ht="14" customHeight="1" x14ac:dyDescent="0.2">
      <c r="A150" s="56" t="s">
        <v>433</v>
      </c>
      <c r="B150" s="54">
        <v>89.8</v>
      </c>
      <c r="C150" s="54">
        <v>93.8</v>
      </c>
      <c r="D150" s="58">
        <v>89.5</v>
      </c>
      <c r="E150" s="54">
        <v>51.5</v>
      </c>
      <c r="F150" s="54">
        <v>8.3000000000000007</v>
      </c>
      <c r="G150" s="53">
        <v>5</v>
      </c>
      <c r="H150" s="54">
        <v>17</v>
      </c>
      <c r="I150" s="54">
        <v>52</v>
      </c>
      <c r="J150" s="54">
        <v>209.4</v>
      </c>
      <c r="K150" s="54">
        <v>5.3</v>
      </c>
      <c r="L150" s="55">
        <v>-68</v>
      </c>
      <c r="M150" s="55">
        <v>329</v>
      </c>
      <c r="N150" s="54"/>
      <c r="O150" s="54"/>
      <c r="P150" s="54">
        <v>175.48732704564057</v>
      </c>
      <c r="Q150" s="54">
        <v>5.7919411589409169</v>
      </c>
      <c r="R150" s="52">
        <v>301</v>
      </c>
      <c r="S150" s="55">
        <v>-64.184247864859501</v>
      </c>
      <c r="T150" s="55">
        <v>24.2048586877678</v>
      </c>
      <c r="U150" s="54">
        <v>38.086117798426201</v>
      </c>
      <c r="V150" s="54">
        <v>-14.7732228403747</v>
      </c>
      <c r="W150" s="54">
        <v>22.9030889134456</v>
      </c>
      <c r="X150" s="52" t="s">
        <v>1204</v>
      </c>
      <c r="Y150" s="52"/>
      <c r="Z150" s="52"/>
      <c r="AA150" s="56" t="b">
        <v>0</v>
      </c>
      <c r="AB150" s="52" t="s">
        <v>165</v>
      </c>
      <c r="AC150" s="49" t="s">
        <v>434</v>
      </c>
      <c r="AD150" s="52">
        <v>1507</v>
      </c>
      <c r="AE150" s="52" t="s">
        <v>147</v>
      </c>
      <c r="AF150" s="56" t="s">
        <v>447</v>
      </c>
      <c r="AG150" s="49"/>
      <c r="AH150" s="56"/>
      <c r="AJ150" s="32"/>
    </row>
    <row r="151" spans="1:36" s="12" customFormat="1" ht="14" customHeight="1" x14ac:dyDescent="0.2">
      <c r="A151" s="10" t="s">
        <v>456</v>
      </c>
      <c r="B151" s="9">
        <f>D151-2.6</f>
        <v>90.800000000000011</v>
      </c>
      <c r="C151" s="9">
        <f>D151+2.6</f>
        <v>96</v>
      </c>
      <c r="D151" s="13">
        <v>93.4</v>
      </c>
      <c r="E151" s="9">
        <v>44.2</v>
      </c>
      <c r="F151" s="9">
        <v>103.4</v>
      </c>
      <c r="G151" s="34">
        <v>23</v>
      </c>
      <c r="H151" s="7">
        <v>7.4</v>
      </c>
      <c r="I151" s="7">
        <v>62.7</v>
      </c>
      <c r="J151" s="7">
        <v>41.4</v>
      </c>
      <c r="K151" s="7">
        <v>4.8</v>
      </c>
      <c r="L151" s="13">
        <v>-84.7</v>
      </c>
      <c r="M151" s="13">
        <v>15</v>
      </c>
      <c r="N151" s="7"/>
      <c r="O151" s="7"/>
      <c r="P151" s="9">
        <v>22.208483889158547</v>
      </c>
      <c r="Q151" s="9">
        <v>6.5692497475694864</v>
      </c>
      <c r="R151" s="7">
        <v>301</v>
      </c>
      <c r="S151" s="13">
        <v>-66.457375502436705</v>
      </c>
      <c r="T151" s="13">
        <v>73.500461360957502</v>
      </c>
      <c r="U151" s="9">
        <v>39.102669719648397</v>
      </c>
      <c r="V151" s="9">
        <v>-14.130541239957701</v>
      </c>
      <c r="W151" s="9">
        <v>25.812241080340598</v>
      </c>
      <c r="X151" s="7" t="s">
        <v>1202</v>
      </c>
      <c r="Y151" s="7"/>
      <c r="Z151" s="7"/>
      <c r="AA151" s="7" t="b">
        <v>1</v>
      </c>
      <c r="AB151" s="7">
        <v>0</v>
      </c>
      <c r="AC151" s="14" t="s">
        <v>457</v>
      </c>
      <c r="AD151" s="7"/>
      <c r="AE151" s="7" t="s">
        <v>1369</v>
      </c>
      <c r="AF151" s="10" t="s">
        <v>458</v>
      </c>
      <c r="AG151" s="14" t="s">
        <v>1227</v>
      </c>
      <c r="AH151" s="10"/>
      <c r="AJ151" s="32"/>
    </row>
    <row r="152" spans="1:36" s="12" customFormat="1" ht="14" customHeight="1" x14ac:dyDescent="0.2">
      <c r="A152" s="56" t="s">
        <v>464</v>
      </c>
      <c r="B152" s="54">
        <v>89.8</v>
      </c>
      <c r="C152" s="54">
        <v>100.5</v>
      </c>
      <c r="D152" s="55">
        <v>95.2</v>
      </c>
      <c r="E152" s="54">
        <v>52</v>
      </c>
      <c r="F152" s="54">
        <v>8</v>
      </c>
      <c r="G152" s="53">
        <v>9</v>
      </c>
      <c r="H152" s="54">
        <v>2.5</v>
      </c>
      <c r="I152" s="54">
        <v>57.8</v>
      </c>
      <c r="J152" s="54">
        <v>276</v>
      </c>
      <c r="K152" s="54">
        <v>3.1</v>
      </c>
      <c r="L152" s="55">
        <v>-75.8</v>
      </c>
      <c r="M152" s="55">
        <v>1.1000000000000001</v>
      </c>
      <c r="N152" s="54">
        <v>184.5</v>
      </c>
      <c r="O152" s="54">
        <v>3.8</v>
      </c>
      <c r="P152" s="54" t="s">
        <v>1203</v>
      </c>
      <c r="Q152" s="54" t="s">
        <v>1203</v>
      </c>
      <c r="R152" s="52">
        <v>301</v>
      </c>
      <c r="S152" s="55">
        <v>-60.916284704286397</v>
      </c>
      <c r="T152" s="55">
        <v>57.733099814119903</v>
      </c>
      <c r="U152" s="54">
        <v>39.585520020492297</v>
      </c>
      <c r="V152" s="54">
        <v>-13.211060383846601</v>
      </c>
      <c r="W152" s="54">
        <v>26.812660622154699</v>
      </c>
      <c r="X152" s="52" t="s">
        <v>1204</v>
      </c>
      <c r="Y152" s="52"/>
      <c r="Z152" s="52"/>
      <c r="AA152" s="56" t="b">
        <v>0</v>
      </c>
      <c r="AB152" s="52" t="s">
        <v>165</v>
      </c>
      <c r="AC152" s="49" t="s">
        <v>465</v>
      </c>
      <c r="AD152" s="52">
        <v>1495</v>
      </c>
      <c r="AE152" s="52" t="s">
        <v>147</v>
      </c>
      <c r="AF152" s="56" t="s">
        <v>1351</v>
      </c>
      <c r="AG152" s="49" t="s">
        <v>1380</v>
      </c>
      <c r="AH152" s="56"/>
      <c r="AJ152" s="32"/>
    </row>
    <row r="153" spans="1:36" s="17" customFormat="1" ht="14" customHeight="1" x14ac:dyDescent="0.2">
      <c r="A153" s="10" t="s">
        <v>470</v>
      </c>
      <c r="B153" s="9">
        <v>94.7</v>
      </c>
      <c r="C153" s="9">
        <v>107</v>
      </c>
      <c r="D153" s="13">
        <f>(B153+C153)/2</f>
        <v>100.85</v>
      </c>
      <c r="E153" s="9">
        <v>44.27</v>
      </c>
      <c r="F153" s="9">
        <v>102.22</v>
      </c>
      <c r="G153" s="34">
        <v>7</v>
      </c>
      <c r="H153" s="7">
        <v>6.5</v>
      </c>
      <c r="I153" s="7">
        <v>66.2</v>
      </c>
      <c r="J153" s="7"/>
      <c r="K153" s="7"/>
      <c r="L153" s="13">
        <v>-82.1</v>
      </c>
      <c r="M153" s="13">
        <v>324.89999999999998</v>
      </c>
      <c r="N153" s="9">
        <v>19.2</v>
      </c>
      <c r="O153" s="9">
        <v>14.1</v>
      </c>
      <c r="P153" s="9" t="s">
        <v>1203</v>
      </c>
      <c r="Q153" s="9" t="s">
        <v>1203</v>
      </c>
      <c r="R153" s="7">
        <v>301</v>
      </c>
      <c r="S153" s="13">
        <v>-68.119080230395497</v>
      </c>
      <c r="T153" s="13">
        <v>68.402836724007798</v>
      </c>
      <c r="U153" s="9">
        <v>40.869197623180597</v>
      </c>
      <c r="V153" s="9">
        <v>-10.6197833469217</v>
      </c>
      <c r="W153" s="9">
        <v>29.980404096369998</v>
      </c>
      <c r="X153" s="7" t="s">
        <v>1202</v>
      </c>
      <c r="Y153" s="10"/>
      <c r="Z153" s="10"/>
      <c r="AA153" s="10" t="b">
        <v>1</v>
      </c>
      <c r="AB153" s="7">
        <v>0</v>
      </c>
      <c r="AC153" s="14" t="s">
        <v>471</v>
      </c>
      <c r="AD153" s="7"/>
      <c r="AE153" s="7" t="s">
        <v>1369</v>
      </c>
      <c r="AF153" s="10" t="s">
        <v>472</v>
      </c>
      <c r="AG153" s="14"/>
      <c r="AH153" s="10"/>
      <c r="AJ153" s="32"/>
    </row>
    <row r="154" spans="1:36" s="17" customFormat="1" ht="14" customHeight="1" x14ac:dyDescent="0.2">
      <c r="A154" s="49" t="s">
        <v>476</v>
      </c>
      <c r="B154" s="54">
        <v>98</v>
      </c>
      <c r="C154" s="54">
        <v>118.2</v>
      </c>
      <c r="D154" s="55">
        <v>104.6</v>
      </c>
      <c r="E154" s="54">
        <v>44.3</v>
      </c>
      <c r="F154" s="54">
        <v>102.2</v>
      </c>
      <c r="G154" s="53">
        <v>27</v>
      </c>
      <c r="H154" s="52">
        <v>12.1</v>
      </c>
      <c r="I154" s="52">
        <v>66.400000000000006</v>
      </c>
      <c r="J154" s="52">
        <v>53</v>
      </c>
      <c r="K154" s="52">
        <v>3.9</v>
      </c>
      <c r="L154" s="55">
        <v>-80.5</v>
      </c>
      <c r="M154" s="55">
        <v>339</v>
      </c>
      <c r="N154" s="54"/>
      <c r="O154" s="54"/>
      <c r="P154" s="54">
        <v>24.33839072689938</v>
      </c>
      <c r="Q154" s="54">
        <v>5.7496275209249852</v>
      </c>
      <c r="R154" s="52">
        <v>301</v>
      </c>
      <c r="S154" s="55">
        <v>-64.574231684904603</v>
      </c>
      <c r="T154" s="55">
        <v>69.096185213436698</v>
      </c>
      <c r="U154" s="54">
        <v>41.567783551652496</v>
      </c>
      <c r="V154" s="54">
        <v>-9.10763715791545</v>
      </c>
      <c r="W154" s="54">
        <v>32.101354199887602</v>
      </c>
      <c r="X154" s="52" t="s">
        <v>1202</v>
      </c>
      <c r="Y154" s="56"/>
      <c r="Z154" s="56"/>
      <c r="AA154" s="56" t="b">
        <v>1</v>
      </c>
      <c r="AB154" s="52" t="s">
        <v>31</v>
      </c>
      <c r="AC154" s="49" t="s">
        <v>457</v>
      </c>
      <c r="AD154" s="52"/>
      <c r="AE154" s="52" t="s">
        <v>1369</v>
      </c>
      <c r="AF154" s="56" t="s">
        <v>477</v>
      </c>
      <c r="AG154" s="49"/>
      <c r="AH154" s="56" t="s">
        <v>1361</v>
      </c>
      <c r="AJ154" s="32"/>
    </row>
    <row r="155" spans="1:36" s="12" customFormat="1" ht="14" customHeight="1" x14ac:dyDescent="0.2">
      <c r="A155" s="56" t="s">
        <v>478</v>
      </c>
      <c r="B155" s="54">
        <v>92</v>
      </c>
      <c r="C155" s="54">
        <v>124</v>
      </c>
      <c r="D155" s="55">
        <v>108</v>
      </c>
      <c r="E155" s="54">
        <v>44.5</v>
      </c>
      <c r="F155" s="54">
        <v>101.5</v>
      </c>
      <c r="G155" s="53">
        <v>126</v>
      </c>
      <c r="H155" s="54">
        <v>11.1</v>
      </c>
      <c r="I155" s="54">
        <v>65.900000000000006</v>
      </c>
      <c r="J155" s="54">
        <v>25.3</v>
      </c>
      <c r="K155" s="54">
        <v>2.5</v>
      </c>
      <c r="L155" s="55">
        <v>-80.8</v>
      </c>
      <c r="M155" s="58">
        <v>338.4</v>
      </c>
      <c r="N155" s="52">
        <v>25.3</v>
      </c>
      <c r="O155" s="52">
        <v>2.5</v>
      </c>
      <c r="P155" s="54" t="s">
        <v>1203</v>
      </c>
      <c r="Q155" s="54" t="s">
        <v>1203</v>
      </c>
      <c r="R155" s="52">
        <v>301</v>
      </c>
      <c r="S155" s="55">
        <v>-63.719828204103699</v>
      </c>
      <c r="T155" s="55">
        <v>72.592836619937799</v>
      </c>
      <c r="U155" s="54">
        <v>42.119708749584397</v>
      </c>
      <c r="V155" s="54">
        <v>-7.8547593050358797</v>
      </c>
      <c r="W155" s="54">
        <v>34.0343153664328</v>
      </c>
      <c r="X155" s="52" t="s">
        <v>1202</v>
      </c>
      <c r="Y155" s="56"/>
      <c r="Z155" s="56"/>
      <c r="AA155" s="56" t="b">
        <v>1</v>
      </c>
      <c r="AB155" s="52" t="s">
        <v>31</v>
      </c>
      <c r="AC155" s="49" t="s">
        <v>479</v>
      </c>
      <c r="AD155" s="52"/>
      <c r="AE155" s="52" t="s">
        <v>147</v>
      </c>
      <c r="AF155" s="56"/>
      <c r="AG155" s="49" t="s">
        <v>1382</v>
      </c>
      <c r="AH155" s="56" t="s">
        <v>1361</v>
      </c>
      <c r="AJ155" s="32"/>
    </row>
    <row r="156" spans="1:36" s="12" customFormat="1" ht="14" customHeight="1" x14ac:dyDescent="0.2">
      <c r="A156" s="14" t="s">
        <v>507</v>
      </c>
      <c r="B156" s="9">
        <v>115.4</v>
      </c>
      <c r="C156" s="9">
        <v>119.3</v>
      </c>
      <c r="D156" s="13">
        <f>(B156+C156)/2</f>
        <v>117.35</v>
      </c>
      <c r="E156" s="9">
        <v>44.4</v>
      </c>
      <c r="F156" s="9">
        <v>102.5</v>
      </c>
      <c r="G156" s="34">
        <v>24</v>
      </c>
      <c r="H156" s="7">
        <v>10.3</v>
      </c>
      <c r="I156" s="7">
        <v>73.400000000000006</v>
      </c>
      <c r="J156" s="7"/>
      <c r="K156" s="7"/>
      <c r="L156" s="13">
        <v>-75.599999999999994</v>
      </c>
      <c r="M156" s="6">
        <v>312.3</v>
      </c>
      <c r="N156" s="7">
        <v>38.1</v>
      </c>
      <c r="O156" s="7">
        <v>4.9000000000000004</v>
      </c>
      <c r="P156" s="9" t="s">
        <v>1203</v>
      </c>
      <c r="Q156" s="9" t="s">
        <v>1203</v>
      </c>
      <c r="R156" s="7">
        <v>301</v>
      </c>
      <c r="S156" s="13">
        <v>-64.8406855420385</v>
      </c>
      <c r="T156" s="13">
        <v>64.213352766807304</v>
      </c>
      <c r="U156" s="9">
        <v>43.180715724768604</v>
      </c>
      <c r="V156" s="9">
        <v>-7.8041757489230896</v>
      </c>
      <c r="W156" s="9">
        <v>39.128409650885303</v>
      </c>
      <c r="X156" s="7" t="s">
        <v>1202</v>
      </c>
      <c r="Y156" s="10"/>
      <c r="Z156" s="10"/>
      <c r="AA156" s="7" t="b">
        <v>1</v>
      </c>
      <c r="AB156" s="7">
        <v>0</v>
      </c>
      <c r="AC156" s="14" t="s">
        <v>471</v>
      </c>
      <c r="AD156" s="7"/>
      <c r="AE156" s="7" t="s">
        <v>1369</v>
      </c>
      <c r="AF156" s="10" t="s">
        <v>508</v>
      </c>
      <c r="AG156" s="14"/>
      <c r="AH156" s="10"/>
      <c r="AJ156" s="32"/>
    </row>
    <row r="157" spans="1:36" s="17" customFormat="1" ht="14" customHeight="1" x14ac:dyDescent="0.2">
      <c r="A157" s="14" t="s">
        <v>522</v>
      </c>
      <c r="B157" s="9">
        <v>118.2</v>
      </c>
      <c r="C157" s="9">
        <v>124.3</v>
      </c>
      <c r="D157" s="13">
        <f>(B157+C157)/2</f>
        <v>121.25</v>
      </c>
      <c r="E157" s="9">
        <v>44.83</v>
      </c>
      <c r="F157" s="9">
        <v>100.74</v>
      </c>
      <c r="G157" s="34">
        <v>21</v>
      </c>
      <c r="H157" s="7">
        <v>8.4</v>
      </c>
      <c r="I157" s="7">
        <v>4.8</v>
      </c>
      <c r="J157" s="7"/>
      <c r="K157" s="9"/>
      <c r="L157" s="13">
        <v>-83.7</v>
      </c>
      <c r="M157" s="6">
        <v>16.399999999999999</v>
      </c>
      <c r="N157" s="7">
        <v>34.299999999999997</v>
      </c>
      <c r="O157" s="7">
        <v>5.7</v>
      </c>
      <c r="P157" s="9" t="s">
        <v>1203</v>
      </c>
      <c r="Q157" s="9" t="s">
        <v>1203</v>
      </c>
      <c r="R157" s="7">
        <v>301</v>
      </c>
      <c r="S157" s="13">
        <v>-55.993269957345198</v>
      </c>
      <c r="T157" s="13">
        <v>88.185045509469404</v>
      </c>
      <c r="U157" s="9">
        <v>43.485497671213103</v>
      </c>
      <c r="V157" s="9">
        <v>-7.5851765384436396</v>
      </c>
      <c r="W157" s="9">
        <v>41.446058015355497</v>
      </c>
      <c r="X157" s="7" t="s">
        <v>1202</v>
      </c>
      <c r="Y157" s="10"/>
      <c r="Z157" s="10"/>
      <c r="AA157" s="7" t="b">
        <v>1</v>
      </c>
      <c r="AB157" s="7">
        <v>0</v>
      </c>
      <c r="AC157" s="14" t="s">
        <v>471</v>
      </c>
      <c r="AD157" s="7"/>
      <c r="AE157" s="7" t="s">
        <v>1369</v>
      </c>
      <c r="AF157" s="10" t="s">
        <v>523</v>
      </c>
      <c r="AG157" s="14"/>
      <c r="AH157" s="10"/>
      <c r="AJ157" s="32"/>
    </row>
    <row r="158" spans="1:36" s="17" customFormat="1" ht="14" customHeight="1" x14ac:dyDescent="0.2">
      <c r="A158" s="14" t="s">
        <v>527</v>
      </c>
      <c r="B158" s="9">
        <v>122.7</v>
      </c>
      <c r="C158" s="9">
        <v>124.7</v>
      </c>
      <c r="D158" s="13">
        <f>(B158+C158)/2</f>
        <v>123.7</v>
      </c>
      <c r="E158" s="9">
        <v>44.76</v>
      </c>
      <c r="F158" s="9">
        <v>101.9</v>
      </c>
      <c r="G158" s="34">
        <v>29</v>
      </c>
      <c r="H158" s="9">
        <v>15</v>
      </c>
      <c r="I158" s="7">
        <v>63.3</v>
      </c>
      <c r="J158" s="7"/>
      <c r="K158" s="7"/>
      <c r="L158" s="13">
        <v>-79.900000000000006</v>
      </c>
      <c r="M158" s="6">
        <v>339.9</v>
      </c>
      <c r="N158" s="7">
        <v>18.8</v>
      </c>
      <c r="O158" s="7">
        <v>6.3</v>
      </c>
      <c r="P158" s="9" t="s">
        <v>1203</v>
      </c>
      <c r="Q158" s="9" t="s">
        <v>1203</v>
      </c>
      <c r="R158" s="7">
        <v>301</v>
      </c>
      <c r="S158" s="13">
        <v>-57.9416358735646</v>
      </c>
      <c r="T158" s="13">
        <v>79.038879689235401</v>
      </c>
      <c r="U158" s="9">
        <v>43.889228901514599</v>
      </c>
      <c r="V158" s="9">
        <v>-6.7633075825809099</v>
      </c>
      <c r="W158" s="9">
        <v>42.493079643412301</v>
      </c>
      <c r="X158" s="7" t="s">
        <v>1202</v>
      </c>
      <c r="Y158" s="10"/>
      <c r="Z158" s="10"/>
      <c r="AA158" s="7" t="b">
        <v>1</v>
      </c>
      <c r="AB158" s="7">
        <v>0</v>
      </c>
      <c r="AC158" s="14" t="s">
        <v>471</v>
      </c>
      <c r="AD158" s="7"/>
      <c r="AE158" s="7" t="s">
        <v>1369</v>
      </c>
      <c r="AF158" s="10" t="s">
        <v>528</v>
      </c>
      <c r="AG158" s="14"/>
      <c r="AH158" s="10"/>
      <c r="AJ158" s="32"/>
    </row>
    <row r="159" spans="1:36" s="12" customFormat="1" ht="14" customHeight="1" x14ac:dyDescent="0.2">
      <c r="A159" s="14" t="s">
        <v>567</v>
      </c>
      <c r="B159" s="9">
        <v>125</v>
      </c>
      <c r="C159" s="9">
        <v>145</v>
      </c>
      <c r="D159" s="13">
        <v>135</v>
      </c>
      <c r="E159" s="9">
        <v>80.7</v>
      </c>
      <c r="F159" s="9">
        <v>56</v>
      </c>
      <c r="G159" s="34">
        <v>40</v>
      </c>
      <c r="H159" s="9">
        <v>42.4</v>
      </c>
      <c r="I159" s="9">
        <v>75.7</v>
      </c>
      <c r="J159" s="9">
        <v>76.599999999999994</v>
      </c>
      <c r="K159" s="9">
        <v>2.6</v>
      </c>
      <c r="L159" s="13">
        <v>-68.900000000000006</v>
      </c>
      <c r="M159" s="13">
        <v>357.5</v>
      </c>
      <c r="N159" s="9">
        <v>26.2</v>
      </c>
      <c r="O159" s="9">
        <v>4.5</v>
      </c>
      <c r="P159" s="9" t="s">
        <v>1203</v>
      </c>
      <c r="Q159" s="9" t="s">
        <v>1203</v>
      </c>
      <c r="R159" s="7">
        <v>301</v>
      </c>
      <c r="S159" s="13">
        <v>-46.308403998350897</v>
      </c>
      <c r="T159" s="13">
        <v>73.433943130592596</v>
      </c>
      <c r="U159" s="9">
        <v>45.116642074434502</v>
      </c>
      <c r="V159" s="9">
        <v>-4.0997180427027597</v>
      </c>
      <c r="W159" s="9">
        <v>46.9693079940687</v>
      </c>
      <c r="X159" s="7" t="s">
        <v>1202</v>
      </c>
      <c r="Y159" s="7"/>
      <c r="Z159" s="7"/>
      <c r="AA159" s="7" t="b">
        <v>1</v>
      </c>
      <c r="AB159" s="7">
        <v>0</v>
      </c>
      <c r="AC159" s="14" t="s">
        <v>568</v>
      </c>
      <c r="AD159" s="7"/>
      <c r="AE159" s="7" t="s">
        <v>1369</v>
      </c>
      <c r="AF159" s="10" t="s">
        <v>1221</v>
      </c>
      <c r="AG159" s="14"/>
      <c r="AH159" s="10"/>
      <c r="AJ159" s="32"/>
    </row>
    <row r="160" spans="1:36" s="12" customFormat="1" ht="14" customHeight="1" x14ac:dyDescent="0.2">
      <c r="A160" s="56" t="s">
        <v>571</v>
      </c>
      <c r="B160" s="52">
        <v>139.4</v>
      </c>
      <c r="C160" s="54">
        <v>145</v>
      </c>
      <c r="D160" s="55">
        <v>142.19999999999999</v>
      </c>
      <c r="E160" s="54">
        <v>44.38</v>
      </c>
      <c r="F160" s="52">
        <v>4.25</v>
      </c>
      <c r="G160" s="58">
        <v>163</v>
      </c>
      <c r="H160" s="52">
        <v>0.4</v>
      </c>
      <c r="I160" s="52">
        <v>47.3</v>
      </c>
      <c r="J160" s="52">
        <v>15.75</v>
      </c>
      <c r="K160" s="52">
        <v>2.9</v>
      </c>
      <c r="L160" s="55">
        <v>-75</v>
      </c>
      <c r="M160" s="55">
        <v>359.4</v>
      </c>
      <c r="N160" s="54">
        <v>12.9</v>
      </c>
      <c r="O160" s="54">
        <v>3.2</v>
      </c>
      <c r="P160" s="54" t="s">
        <v>1203</v>
      </c>
      <c r="Q160" s="54" t="s">
        <v>1203</v>
      </c>
      <c r="R160" s="52">
        <v>301</v>
      </c>
      <c r="S160" s="55">
        <v>-48.841020405691701</v>
      </c>
      <c r="T160" s="55">
        <v>82.841133747267406</v>
      </c>
      <c r="U160" s="54">
        <v>45.657694912095401</v>
      </c>
      <c r="V160" s="54">
        <v>-3.63359490550177</v>
      </c>
      <c r="W160" s="54">
        <v>48.885496488428402</v>
      </c>
      <c r="X160" s="52" t="s">
        <v>1204</v>
      </c>
      <c r="Y160" s="56"/>
      <c r="Z160" s="56"/>
      <c r="AA160" s="52" t="b">
        <v>1</v>
      </c>
      <c r="AB160" s="52" t="s">
        <v>165</v>
      </c>
      <c r="AC160" s="49" t="s">
        <v>572</v>
      </c>
      <c r="AD160" s="52">
        <v>1397</v>
      </c>
      <c r="AE160" s="52" t="s">
        <v>147</v>
      </c>
      <c r="AF160" s="56" t="s">
        <v>1346</v>
      </c>
      <c r="AG160" s="49" t="s">
        <v>1333</v>
      </c>
      <c r="AH160" s="56"/>
      <c r="AJ160" s="32"/>
    </row>
    <row r="161" spans="1:36" s="12" customFormat="1" ht="14" customHeight="1" x14ac:dyDescent="0.2">
      <c r="A161" s="56" t="s">
        <v>588</v>
      </c>
      <c r="B161" s="54">
        <v>149.19999999999999</v>
      </c>
      <c r="C161" s="54">
        <v>161.5</v>
      </c>
      <c r="D161" s="55">
        <f>(B161+C161)/2</f>
        <v>155.35</v>
      </c>
      <c r="E161" s="54">
        <v>47.3</v>
      </c>
      <c r="F161" s="54">
        <v>7.2</v>
      </c>
      <c r="G161" s="58">
        <v>24</v>
      </c>
      <c r="H161" s="54">
        <v>10</v>
      </c>
      <c r="I161" s="54">
        <v>56</v>
      </c>
      <c r="J161" s="54">
        <v>43.2</v>
      </c>
      <c r="K161" s="54">
        <v>4.5999999999999996</v>
      </c>
      <c r="L161" s="55">
        <v>-77.7</v>
      </c>
      <c r="M161" s="55">
        <v>328.4</v>
      </c>
      <c r="N161" s="54">
        <v>26</v>
      </c>
      <c r="O161" s="54">
        <v>5.9</v>
      </c>
      <c r="P161" s="71" t="s">
        <v>1203</v>
      </c>
      <c r="Q161" s="71" t="s">
        <v>1203</v>
      </c>
      <c r="R161" s="52">
        <v>301</v>
      </c>
      <c r="S161" s="55">
        <v>-55.5419751090378</v>
      </c>
      <c r="T161" s="55">
        <v>87.530269806630997</v>
      </c>
      <c r="U161" s="54">
        <v>48.449259006662402</v>
      </c>
      <c r="V161" s="54">
        <v>-1.2735131335140299</v>
      </c>
      <c r="W161" s="54">
        <v>53.303425850309203</v>
      </c>
      <c r="X161" s="52" t="s">
        <v>1204</v>
      </c>
      <c r="Y161" s="56"/>
      <c r="Z161" s="56"/>
      <c r="AA161" s="52" t="b">
        <v>1</v>
      </c>
      <c r="AB161" s="52" t="s">
        <v>165</v>
      </c>
      <c r="AC161" s="49" t="s">
        <v>589</v>
      </c>
      <c r="AD161" s="52">
        <v>1337</v>
      </c>
      <c r="AE161" s="52" t="s">
        <v>147</v>
      </c>
      <c r="AF161" s="56" t="s">
        <v>590</v>
      </c>
      <c r="AG161" s="49" t="s">
        <v>1275</v>
      </c>
      <c r="AH161" s="56"/>
      <c r="AJ161" s="32"/>
    </row>
    <row r="162" spans="1:36" s="17" customFormat="1" ht="14" customHeight="1" x14ac:dyDescent="0.15">
      <c r="A162" s="56" t="s">
        <v>601</v>
      </c>
      <c r="B162" s="54"/>
      <c r="C162" s="54"/>
      <c r="D162" s="55">
        <v>158</v>
      </c>
      <c r="E162" s="54"/>
      <c r="F162" s="54"/>
      <c r="G162" s="58"/>
      <c r="H162" s="54"/>
      <c r="I162" s="54"/>
      <c r="J162" s="54"/>
      <c r="K162" s="54"/>
      <c r="L162" s="55">
        <v>-78</v>
      </c>
      <c r="M162" s="55">
        <v>310</v>
      </c>
      <c r="N162" s="54"/>
      <c r="O162" s="54"/>
      <c r="P162" s="61"/>
      <c r="Q162" s="61"/>
      <c r="R162" s="52">
        <v>301</v>
      </c>
      <c r="S162" s="55">
        <v>-58.757750023277403</v>
      </c>
      <c r="T162" s="55">
        <v>89.2016413662286</v>
      </c>
      <c r="U162" s="54">
        <v>48.5914518253662</v>
      </c>
      <c r="V162" s="54">
        <v>-1.1216671686748201</v>
      </c>
      <c r="W162" s="54">
        <v>54.439176327766702</v>
      </c>
      <c r="X162" s="52" t="s">
        <v>1204</v>
      </c>
      <c r="Y162" s="56"/>
      <c r="Z162" s="56"/>
      <c r="AA162" s="52" t="b">
        <v>0</v>
      </c>
      <c r="AB162" s="52" t="s">
        <v>31</v>
      </c>
      <c r="AC162" s="49" t="s">
        <v>602</v>
      </c>
      <c r="AD162" s="52">
        <v>3156</v>
      </c>
      <c r="AE162" s="52" t="s">
        <v>147</v>
      </c>
      <c r="AF162" s="56"/>
      <c r="AG162" s="49"/>
      <c r="AH162" s="56" t="s">
        <v>1345</v>
      </c>
      <c r="AJ162" s="32"/>
    </row>
    <row r="163" spans="1:36" s="12" customFormat="1" ht="14" customHeight="1" x14ac:dyDescent="0.2">
      <c r="A163" s="56" t="s">
        <v>603</v>
      </c>
      <c r="B163" s="54">
        <v>154.80000000000001</v>
      </c>
      <c r="C163" s="54">
        <v>161.5</v>
      </c>
      <c r="D163" s="55">
        <f>(B163+C163)/2</f>
        <v>158.15</v>
      </c>
      <c r="E163" s="54">
        <v>52.9</v>
      </c>
      <c r="F163" s="54">
        <v>18</v>
      </c>
      <c r="G163" s="58">
        <v>6</v>
      </c>
      <c r="H163" s="54">
        <v>19.7</v>
      </c>
      <c r="I163" s="54">
        <v>57.7</v>
      </c>
      <c r="J163" s="54">
        <v>288</v>
      </c>
      <c r="K163" s="54">
        <v>3.9</v>
      </c>
      <c r="L163" s="55">
        <v>-70</v>
      </c>
      <c r="M163" s="55">
        <v>327</v>
      </c>
      <c r="N163" s="54"/>
      <c r="O163" s="54"/>
      <c r="P163" s="54">
        <v>190.92783001945429</v>
      </c>
      <c r="Q163" s="54">
        <v>4.8612593427144679</v>
      </c>
      <c r="R163" s="52">
        <v>301</v>
      </c>
      <c r="S163" s="55">
        <v>-53.534849355835</v>
      </c>
      <c r="T163" s="55">
        <v>75.584911582594003</v>
      </c>
      <c r="U163" s="54">
        <v>48.5993368572503</v>
      </c>
      <c r="V163" s="54">
        <v>-1.11319783491858</v>
      </c>
      <c r="W163" s="54">
        <v>54.503474916362201</v>
      </c>
      <c r="X163" s="52" t="s">
        <v>1204</v>
      </c>
      <c r="Y163" s="56"/>
      <c r="Z163" s="56"/>
      <c r="AA163" s="52" t="b">
        <v>0</v>
      </c>
      <c r="AB163" s="52" t="s">
        <v>165</v>
      </c>
      <c r="AC163" s="49" t="s">
        <v>604</v>
      </c>
      <c r="AD163" s="52">
        <v>616</v>
      </c>
      <c r="AE163" s="52" t="s">
        <v>147</v>
      </c>
      <c r="AF163" s="56" t="s">
        <v>605</v>
      </c>
      <c r="AG163" s="49"/>
      <c r="AH163" s="56"/>
      <c r="AJ163" s="32"/>
    </row>
    <row r="164" spans="1:36" s="17" customFormat="1" ht="14" customHeight="1" x14ac:dyDescent="0.2">
      <c r="A164" s="56" t="s">
        <v>606</v>
      </c>
      <c r="B164" s="54">
        <v>149.19999999999999</v>
      </c>
      <c r="C164" s="54">
        <v>168.2</v>
      </c>
      <c r="D164" s="55">
        <f>(B164+C164)/2</f>
        <v>158.69999999999999</v>
      </c>
      <c r="E164" s="54">
        <v>49.3</v>
      </c>
      <c r="F164" s="54">
        <v>19.8</v>
      </c>
      <c r="G164" s="58">
        <v>7</v>
      </c>
      <c r="H164" s="54">
        <v>22.3</v>
      </c>
      <c r="I164" s="54">
        <v>59.1</v>
      </c>
      <c r="J164" s="54">
        <v>198</v>
      </c>
      <c r="K164" s="54">
        <v>4.3</v>
      </c>
      <c r="L164" s="55">
        <v>-71.7</v>
      </c>
      <c r="M164" s="55">
        <v>312.2</v>
      </c>
      <c r="N164" s="54"/>
      <c r="O164" s="54"/>
      <c r="P164" s="54">
        <v>123.73707117617383</v>
      </c>
      <c r="Q164" s="54">
        <v>5.4478316605042032</v>
      </c>
      <c r="R164" s="52">
        <v>301</v>
      </c>
      <c r="S164" s="55">
        <v>-58.466757288087599</v>
      </c>
      <c r="T164" s="55">
        <v>77.331804614796894</v>
      </c>
      <c r="U164" s="54">
        <v>48.628102727736298</v>
      </c>
      <c r="V164" s="54">
        <v>-1.0822561478973101</v>
      </c>
      <c r="W164" s="54">
        <v>54.739246058790201</v>
      </c>
      <c r="X164" s="52" t="s">
        <v>217</v>
      </c>
      <c r="Y164" s="56"/>
      <c r="Z164" s="56"/>
      <c r="AA164" s="52" t="b">
        <v>0</v>
      </c>
      <c r="AB164" s="52" t="s">
        <v>165</v>
      </c>
      <c r="AC164" s="49" t="s">
        <v>607</v>
      </c>
      <c r="AD164" s="52">
        <v>1948</v>
      </c>
      <c r="AE164" s="52" t="s">
        <v>147</v>
      </c>
      <c r="AF164" s="56" t="s">
        <v>608</v>
      </c>
      <c r="AG164" s="49"/>
      <c r="AH164" s="56"/>
      <c r="AJ164" s="32"/>
    </row>
    <row r="165" spans="1:36" s="12" customFormat="1" ht="14" customHeight="1" x14ac:dyDescent="0.2">
      <c r="A165" s="56" t="s">
        <v>611</v>
      </c>
      <c r="B165" s="54">
        <v>154.80000000000001</v>
      </c>
      <c r="C165" s="54">
        <v>165.3</v>
      </c>
      <c r="D165" s="55">
        <f>(B165+C165)/2</f>
        <v>160.05000000000001</v>
      </c>
      <c r="E165" s="54">
        <v>50.3</v>
      </c>
      <c r="F165" s="54">
        <v>19.5</v>
      </c>
      <c r="G165" s="58">
        <v>8</v>
      </c>
      <c r="H165" s="54">
        <v>16.8</v>
      </c>
      <c r="I165" s="54">
        <v>56.7</v>
      </c>
      <c r="J165" s="54">
        <v>58</v>
      </c>
      <c r="K165" s="54">
        <v>7.3</v>
      </c>
      <c r="L165" s="55">
        <v>-72.3</v>
      </c>
      <c r="M165" s="55">
        <v>330.4</v>
      </c>
      <c r="N165" s="54"/>
      <c r="O165" s="54"/>
      <c r="P165" s="54">
        <v>40.096512803349704</v>
      </c>
      <c r="Q165" s="54">
        <v>8.85388984897941</v>
      </c>
      <c r="R165" s="52">
        <v>301</v>
      </c>
      <c r="S165" s="55">
        <v>-52.723720470058097</v>
      </c>
      <c r="T165" s="55">
        <v>80.606960000359805</v>
      </c>
      <c r="U165" s="54">
        <v>48.697753730875597</v>
      </c>
      <c r="V165" s="54">
        <v>-1.0070474409943</v>
      </c>
      <c r="W165" s="54">
        <v>55.318020270799799</v>
      </c>
      <c r="X165" s="52" t="s">
        <v>1204</v>
      </c>
      <c r="Y165" s="56"/>
      <c r="Z165" s="56"/>
      <c r="AA165" s="52" t="b">
        <v>1</v>
      </c>
      <c r="AB165" s="52" t="s">
        <v>1315</v>
      </c>
      <c r="AC165" s="49" t="s">
        <v>607</v>
      </c>
      <c r="AD165" s="52">
        <v>1948</v>
      </c>
      <c r="AE165" s="52" t="s">
        <v>147</v>
      </c>
      <c r="AF165" s="56" t="s">
        <v>612</v>
      </c>
      <c r="AG165" s="49" t="s">
        <v>1331</v>
      </c>
      <c r="AH165" s="56"/>
      <c r="AJ165" s="32"/>
    </row>
    <row r="166" spans="1:36" s="12" customFormat="1" ht="14" customHeight="1" x14ac:dyDescent="0.2">
      <c r="A166" s="56" t="s">
        <v>626</v>
      </c>
      <c r="B166" s="54">
        <v>168.2</v>
      </c>
      <c r="C166" s="54">
        <v>170.9</v>
      </c>
      <c r="D166" s="55">
        <f>(B166+C166)/2</f>
        <v>169.55</v>
      </c>
      <c r="E166" s="54">
        <v>48.7</v>
      </c>
      <c r="F166" s="54">
        <v>7.5</v>
      </c>
      <c r="G166" s="58">
        <v>7</v>
      </c>
      <c r="H166" s="54">
        <v>30.1</v>
      </c>
      <c r="I166" s="54">
        <v>53.2</v>
      </c>
      <c r="J166" s="54">
        <v>92</v>
      </c>
      <c r="K166" s="54">
        <v>6.3</v>
      </c>
      <c r="L166" s="55">
        <v>-63.1</v>
      </c>
      <c r="M166" s="55">
        <v>300.10000000000002</v>
      </c>
      <c r="N166" s="54"/>
      <c r="O166" s="54"/>
      <c r="P166" s="54">
        <v>73.465328784036856</v>
      </c>
      <c r="Q166" s="54">
        <v>7.0889970911550355</v>
      </c>
      <c r="R166" s="52">
        <v>301</v>
      </c>
      <c r="S166" s="55">
        <v>-60.2050192225188</v>
      </c>
      <c r="T166" s="55">
        <v>65.4325167240479</v>
      </c>
      <c r="U166" s="54">
        <v>49.152742455572401</v>
      </c>
      <c r="V166" s="54">
        <v>-0.50528734805513298</v>
      </c>
      <c r="W166" s="54">
        <v>59.393196883883498</v>
      </c>
      <c r="X166" s="52" t="s">
        <v>1204</v>
      </c>
      <c r="Y166" s="56"/>
      <c r="Z166" s="56"/>
      <c r="AA166" s="52" t="b">
        <v>1</v>
      </c>
      <c r="AB166" s="52" t="s">
        <v>165</v>
      </c>
      <c r="AC166" s="49" t="s">
        <v>627</v>
      </c>
      <c r="AD166" s="52">
        <v>1514</v>
      </c>
      <c r="AE166" s="52" t="s">
        <v>147</v>
      </c>
      <c r="AF166" s="56" t="s">
        <v>628</v>
      </c>
      <c r="AG166" s="49" t="s">
        <v>1331</v>
      </c>
      <c r="AH166" s="56"/>
      <c r="AJ166" s="32"/>
    </row>
    <row r="167" spans="1:36" s="17" customFormat="1" ht="14" customHeight="1" x14ac:dyDescent="0.2">
      <c r="A167" s="56" t="s">
        <v>637</v>
      </c>
      <c r="B167" s="54">
        <v>174.7</v>
      </c>
      <c r="C167" s="54">
        <v>184.2</v>
      </c>
      <c r="D167" s="55">
        <f>(B167+C167)/2</f>
        <v>179.45</v>
      </c>
      <c r="E167" s="54">
        <v>47</v>
      </c>
      <c r="F167" s="54">
        <v>359.2</v>
      </c>
      <c r="G167" s="58">
        <v>4</v>
      </c>
      <c r="H167" s="54">
        <v>26.3</v>
      </c>
      <c r="I167" s="54">
        <v>60.6</v>
      </c>
      <c r="J167" s="54">
        <v>62.1</v>
      </c>
      <c r="K167" s="54">
        <v>11.8</v>
      </c>
      <c r="L167" s="55">
        <v>-71</v>
      </c>
      <c r="M167" s="55">
        <v>276</v>
      </c>
      <c r="N167" s="54"/>
      <c r="O167" s="54"/>
      <c r="P167" s="54">
        <v>36.418148150974531</v>
      </c>
      <c r="Q167" s="54">
        <v>15.431198923695531</v>
      </c>
      <c r="R167" s="52">
        <v>301</v>
      </c>
      <c r="S167" s="55">
        <v>-64.742039308109298</v>
      </c>
      <c r="T167" s="55">
        <v>90.831106543720793</v>
      </c>
      <c r="U167" s="54">
        <v>49.186333838409602</v>
      </c>
      <c r="V167" s="54">
        <v>-0.56498102622623403</v>
      </c>
      <c r="W167" s="54">
        <v>62.770551599743698</v>
      </c>
      <c r="X167" s="52" t="s">
        <v>1204</v>
      </c>
      <c r="Y167" s="56"/>
      <c r="Z167" s="56"/>
      <c r="AA167" s="52" t="b">
        <v>1</v>
      </c>
      <c r="AB167" s="52" t="s">
        <v>165</v>
      </c>
      <c r="AC167" s="49" t="s">
        <v>638</v>
      </c>
      <c r="AD167" s="52">
        <v>1427</v>
      </c>
      <c r="AE167" s="52" t="s">
        <v>147</v>
      </c>
      <c r="AF167" s="56" t="s">
        <v>639</v>
      </c>
      <c r="AG167" s="49"/>
      <c r="AH167" s="56"/>
      <c r="AJ167" s="32"/>
    </row>
    <row r="168" spans="1:36" s="12" customFormat="1" ht="14" customHeight="1" x14ac:dyDescent="0.2">
      <c r="A168" s="10" t="s">
        <v>689</v>
      </c>
      <c r="B168" s="9">
        <v>178</v>
      </c>
      <c r="C168" s="9">
        <v>191</v>
      </c>
      <c r="D168" s="13">
        <v>184.5</v>
      </c>
      <c r="E168" s="9">
        <v>55.5</v>
      </c>
      <c r="F168" s="9">
        <v>14</v>
      </c>
      <c r="G168" s="6">
        <v>21</v>
      </c>
      <c r="H168" s="9">
        <v>35</v>
      </c>
      <c r="I168" s="9">
        <v>68</v>
      </c>
      <c r="J168" s="9">
        <v>20</v>
      </c>
      <c r="K168" s="9">
        <v>6.8</v>
      </c>
      <c r="L168" s="13">
        <v>-69</v>
      </c>
      <c r="M168" s="13">
        <v>283</v>
      </c>
      <c r="N168" s="9">
        <v>16.399999999999999</v>
      </c>
      <c r="O168" s="9">
        <v>8.1</v>
      </c>
      <c r="P168" s="9" t="s">
        <v>1203</v>
      </c>
      <c r="Q168" s="9" t="s">
        <v>1203</v>
      </c>
      <c r="R168" s="7">
        <v>301</v>
      </c>
      <c r="S168" s="13">
        <v>-63.244409249355002</v>
      </c>
      <c r="T168" s="13">
        <v>84.796790851538105</v>
      </c>
      <c r="U168" s="9">
        <v>49.0175599917239</v>
      </c>
      <c r="V168" s="9">
        <v>-0.50283713545784103</v>
      </c>
      <c r="W168" s="9">
        <v>63.470428652147604</v>
      </c>
      <c r="X168" s="7" t="s">
        <v>1202</v>
      </c>
      <c r="Y168" s="10"/>
      <c r="Z168" s="10"/>
      <c r="AA168" s="7" t="b">
        <v>1</v>
      </c>
      <c r="AB168" s="7">
        <v>0</v>
      </c>
      <c r="AC168" s="14" t="s">
        <v>690</v>
      </c>
      <c r="AD168" s="7">
        <v>2720</v>
      </c>
      <c r="AE168" s="7" t="s">
        <v>147</v>
      </c>
      <c r="AF168" s="10" t="s">
        <v>1354</v>
      </c>
      <c r="AG168" s="14"/>
      <c r="AH168" s="10"/>
      <c r="AJ168" s="32"/>
    </row>
    <row r="169" spans="1:36" s="12" customFormat="1" ht="14" customHeight="1" x14ac:dyDescent="0.2">
      <c r="A169" s="49" t="s">
        <v>706</v>
      </c>
      <c r="B169" s="54">
        <v>184.2</v>
      </c>
      <c r="C169" s="54">
        <v>192.9</v>
      </c>
      <c r="D169" s="55">
        <f>(B169+C169)/2</f>
        <v>188.55</v>
      </c>
      <c r="E169" s="52">
        <v>54.6</v>
      </c>
      <c r="F169" s="54">
        <v>359.2</v>
      </c>
      <c r="G169" s="58">
        <v>185</v>
      </c>
      <c r="H169" s="54">
        <v>12.3</v>
      </c>
      <c r="I169" s="54">
        <v>62.3</v>
      </c>
      <c r="J169" s="54">
        <v>37</v>
      </c>
      <c r="K169" s="54">
        <v>1.7</v>
      </c>
      <c r="L169" s="55">
        <v>-76.900000000000006</v>
      </c>
      <c r="M169" s="55">
        <v>314.7</v>
      </c>
      <c r="N169" s="54">
        <v>19</v>
      </c>
      <c r="O169" s="54">
        <v>2.5</v>
      </c>
      <c r="P169" s="54" t="s">
        <v>1203</v>
      </c>
      <c r="Q169" s="54" t="s">
        <v>1203</v>
      </c>
      <c r="R169" s="52">
        <v>301</v>
      </c>
      <c r="S169" s="55">
        <v>-51.903661536940398</v>
      </c>
      <c r="T169" s="55">
        <v>94.525992655562803</v>
      </c>
      <c r="U169" s="54">
        <v>48.884752844795898</v>
      </c>
      <c r="V169" s="54">
        <v>-0.45345788083715699</v>
      </c>
      <c r="W169" s="54">
        <v>64.032067336365699</v>
      </c>
      <c r="X169" s="52" t="s">
        <v>217</v>
      </c>
      <c r="Y169" s="56"/>
      <c r="Z169" s="56"/>
      <c r="AA169" s="52" t="b">
        <v>1</v>
      </c>
      <c r="AB169" s="52" t="s">
        <v>218</v>
      </c>
      <c r="AC169" s="56" t="s">
        <v>707</v>
      </c>
      <c r="AD169" s="52">
        <v>1467</v>
      </c>
      <c r="AE169" s="52" t="s">
        <v>147</v>
      </c>
      <c r="AF169" s="56" t="s">
        <v>702</v>
      </c>
      <c r="AG169" s="49" t="s">
        <v>1386</v>
      </c>
      <c r="AH169" s="56"/>
      <c r="AJ169" s="32"/>
    </row>
    <row r="170" spans="1:36" s="12" customFormat="1" ht="14" customHeight="1" x14ac:dyDescent="0.2">
      <c r="A170" s="56" t="s">
        <v>703</v>
      </c>
      <c r="B170" s="54">
        <v>184.2</v>
      </c>
      <c r="C170" s="54">
        <v>192.9</v>
      </c>
      <c r="D170" s="55">
        <f>(B170+C170)/2</f>
        <v>188.55</v>
      </c>
      <c r="E170" s="54">
        <v>49.8</v>
      </c>
      <c r="F170" s="54">
        <v>4</v>
      </c>
      <c r="G170" s="58">
        <v>15</v>
      </c>
      <c r="H170" s="54">
        <v>28.1</v>
      </c>
      <c r="I170" s="54">
        <v>55.9</v>
      </c>
      <c r="J170" s="54">
        <v>56.3</v>
      </c>
      <c r="K170" s="54">
        <v>5.0999999999999996</v>
      </c>
      <c r="L170" s="55">
        <v>-66</v>
      </c>
      <c r="M170" s="55">
        <v>295.2</v>
      </c>
      <c r="N170" s="54">
        <v>34.5</v>
      </c>
      <c r="O170" s="54">
        <v>6.6</v>
      </c>
      <c r="P170" s="54" t="s">
        <v>1203</v>
      </c>
      <c r="Q170" s="54" t="s">
        <v>1203</v>
      </c>
      <c r="R170" s="52">
        <v>301</v>
      </c>
      <c r="S170" s="55">
        <v>-59.227773331680901</v>
      </c>
      <c r="T170" s="55">
        <v>76.691130114612207</v>
      </c>
      <c r="U170" s="54">
        <v>48.884752844795898</v>
      </c>
      <c r="V170" s="54">
        <v>-0.45345788083715699</v>
      </c>
      <c r="W170" s="54">
        <v>64.032067336365699</v>
      </c>
      <c r="X170" s="52" t="s">
        <v>1204</v>
      </c>
      <c r="Y170" s="56"/>
      <c r="Z170" s="56"/>
      <c r="AA170" s="52" t="b">
        <v>1</v>
      </c>
      <c r="AB170" s="52" t="s">
        <v>165</v>
      </c>
      <c r="AC170" s="56" t="s">
        <v>704</v>
      </c>
      <c r="AD170" s="59">
        <v>3554</v>
      </c>
      <c r="AE170" s="52" t="s">
        <v>147</v>
      </c>
      <c r="AF170" s="56" t="s">
        <v>702</v>
      </c>
      <c r="AG170" s="49"/>
      <c r="AH170" s="56" t="s">
        <v>705</v>
      </c>
      <c r="AJ170" s="32"/>
    </row>
    <row r="171" spans="1:36" s="17" customFormat="1" ht="14" customHeight="1" x14ac:dyDescent="0.2">
      <c r="A171" s="14" t="s">
        <v>711</v>
      </c>
      <c r="B171" s="9">
        <v>190</v>
      </c>
      <c r="C171" s="9">
        <v>196</v>
      </c>
      <c r="D171" s="13">
        <v>193</v>
      </c>
      <c r="E171" s="7">
        <v>48.3</v>
      </c>
      <c r="F171" s="7">
        <v>355.5</v>
      </c>
      <c r="G171" s="6">
        <v>7</v>
      </c>
      <c r="H171" s="9">
        <v>41</v>
      </c>
      <c r="I171" s="9">
        <v>61.700000762939453</v>
      </c>
      <c r="J171" s="9">
        <v>66</v>
      </c>
      <c r="K171" s="9">
        <v>7.5</v>
      </c>
      <c r="L171" s="13">
        <v>-61.3</v>
      </c>
      <c r="M171" s="13">
        <v>258.8</v>
      </c>
      <c r="N171" s="9">
        <v>36</v>
      </c>
      <c r="O171" s="9">
        <v>10.199999999999999</v>
      </c>
      <c r="P171" s="9" t="s">
        <v>1203</v>
      </c>
      <c r="Q171" s="9" t="s">
        <v>1203</v>
      </c>
      <c r="R171" s="7">
        <v>301</v>
      </c>
      <c r="S171" s="13">
        <v>-75.393198032773199</v>
      </c>
      <c r="T171" s="13">
        <v>87.811259135830596</v>
      </c>
      <c r="U171" s="9">
        <v>48.504195314822297</v>
      </c>
      <c r="V171" s="9">
        <v>-4.4613211109394098E-2</v>
      </c>
      <c r="W171" s="9">
        <v>63.888918705708001</v>
      </c>
      <c r="X171" s="7" t="s">
        <v>1202</v>
      </c>
      <c r="Y171" s="10"/>
      <c r="Z171" s="10"/>
      <c r="AA171" s="7" t="b">
        <v>1</v>
      </c>
      <c r="AB171" s="7">
        <v>0</v>
      </c>
      <c r="AC171" s="14" t="s">
        <v>712</v>
      </c>
      <c r="AD171" s="7">
        <v>2743</v>
      </c>
      <c r="AE171" s="7" t="s">
        <v>147</v>
      </c>
      <c r="AF171" s="10" t="s">
        <v>713</v>
      </c>
      <c r="AG171" s="14" t="s">
        <v>1275</v>
      </c>
      <c r="AH171" s="10"/>
      <c r="AJ171" s="32"/>
    </row>
    <row r="172" spans="1:36" s="12" customFormat="1" ht="14" customHeight="1" x14ac:dyDescent="0.2">
      <c r="A172" s="49" t="s">
        <v>727</v>
      </c>
      <c r="B172" s="54">
        <v>192.9</v>
      </c>
      <c r="C172" s="54">
        <v>201.4</v>
      </c>
      <c r="D172" s="55">
        <f>(B172+C172)/2</f>
        <v>197.15</v>
      </c>
      <c r="E172" s="54">
        <v>49.7</v>
      </c>
      <c r="F172" s="54">
        <v>4</v>
      </c>
      <c r="G172" s="53">
        <v>16</v>
      </c>
      <c r="H172" s="54">
        <v>45.9</v>
      </c>
      <c r="I172" s="54">
        <v>50.4</v>
      </c>
      <c r="J172" s="54">
        <v>130.1</v>
      </c>
      <c r="K172" s="54">
        <v>3.1</v>
      </c>
      <c r="L172" s="55">
        <v>-51.3</v>
      </c>
      <c r="M172" s="55">
        <v>285</v>
      </c>
      <c r="N172" s="54"/>
      <c r="O172" s="54"/>
      <c r="P172" s="61">
        <v>116.15603847946952</v>
      </c>
      <c r="Q172" s="64">
        <v>3.4369852691134253</v>
      </c>
      <c r="R172" s="52">
        <v>301</v>
      </c>
      <c r="S172" s="55">
        <v>-65.136039743045799</v>
      </c>
      <c r="T172" s="55">
        <v>45.613118888242603</v>
      </c>
      <c r="U172" s="54">
        <v>48.144887333467103</v>
      </c>
      <c r="V172" s="54">
        <v>0.59219707676551303</v>
      </c>
      <c r="W172" s="54">
        <v>63.354284295244703</v>
      </c>
      <c r="X172" s="52" t="s">
        <v>1204</v>
      </c>
      <c r="Y172" s="52"/>
      <c r="Z172" s="52"/>
      <c r="AA172" s="52" t="b">
        <v>0</v>
      </c>
      <c r="AB172" s="52" t="s">
        <v>31</v>
      </c>
      <c r="AC172" s="49" t="s">
        <v>728</v>
      </c>
      <c r="AD172" s="52">
        <v>3029</v>
      </c>
      <c r="AE172" s="52" t="s">
        <v>147</v>
      </c>
      <c r="AF172" s="56" t="s">
        <v>729</v>
      </c>
      <c r="AG172" s="49"/>
      <c r="AH172" s="56" t="s">
        <v>1423</v>
      </c>
      <c r="AJ172" s="32"/>
    </row>
    <row r="173" spans="1:36" s="12" customFormat="1" ht="14" customHeight="1" x14ac:dyDescent="0.2">
      <c r="A173" s="49" t="s">
        <v>742</v>
      </c>
      <c r="B173" s="54">
        <v>199.5</v>
      </c>
      <c r="C173" s="54">
        <v>201.4</v>
      </c>
      <c r="D173" s="55">
        <v>200.45</v>
      </c>
      <c r="E173" s="54">
        <v>48.8</v>
      </c>
      <c r="F173" s="54">
        <v>7</v>
      </c>
      <c r="G173" s="53">
        <v>16</v>
      </c>
      <c r="H173" s="54">
        <v>221</v>
      </c>
      <c r="I173" s="54">
        <v>-57</v>
      </c>
      <c r="J173" s="54">
        <v>58</v>
      </c>
      <c r="K173" s="54">
        <v>5</v>
      </c>
      <c r="L173" s="55">
        <v>-59</v>
      </c>
      <c r="M173" s="55">
        <v>281</v>
      </c>
      <c r="N173" s="54"/>
      <c r="O173" s="54"/>
      <c r="P173" s="54">
        <v>39.596587531189599</v>
      </c>
      <c r="Q173" s="54">
        <v>5.9352926252624805</v>
      </c>
      <c r="R173" s="52">
        <v>301</v>
      </c>
      <c r="S173" s="55">
        <v>-67.9114375503285</v>
      </c>
      <c r="T173" s="55">
        <v>65.165328996171894</v>
      </c>
      <c r="U173" s="54">
        <v>47.934981199399502</v>
      </c>
      <c r="V173" s="54">
        <v>1.1699289737968199</v>
      </c>
      <c r="W173" s="54">
        <v>62.884921325704802</v>
      </c>
      <c r="X173" s="52" t="s">
        <v>1204</v>
      </c>
      <c r="Y173" s="52"/>
      <c r="Z173" s="52"/>
      <c r="AA173" s="52" t="b">
        <v>1</v>
      </c>
      <c r="AB173" s="52" t="s">
        <v>165</v>
      </c>
      <c r="AC173" s="49" t="s">
        <v>743</v>
      </c>
      <c r="AD173" s="52">
        <v>3141</v>
      </c>
      <c r="AE173" s="52" t="s">
        <v>147</v>
      </c>
      <c r="AF173" s="56" t="s">
        <v>741</v>
      </c>
      <c r="AG173" s="49"/>
      <c r="AH173" s="56"/>
      <c r="AJ173" s="32"/>
    </row>
    <row r="174" spans="1:36" s="12" customFormat="1" ht="14" customHeight="1" x14ac:dyDescent="0.2">
      <c r="A174" s="56" t="s">
        <v>755</v>
      </c>
      <c r="B174" s="54">
        <v>201.4</v>
      </c>
      <c r="C174" s="54">
        <v>205.7</v>
      </c>
      <c r="D174" s="55">
        <f>(B174+C174)/2</f>
        <v>203.55</v>
      </c>
      <c r="E174" s="54">
        <v>48.5</v>
      </c>
      <c r="F174" s="54">
        <v>5</v>
      </c>
      <c r="G174" s="53">
        <v>5</v>
      </c>
      <c r="H174" s="54">
        <v>45.1</v>
      </c>
      <c r="I174" s="54">
        <v>46.8</v>
      </c>
      <c r="J174" s="54">
        <v>101.2</v>
      </c>
      <c r="K174" s="54">
        <v>7.6</v>
      </c>
      <c r="L174" s="55">
        <v>-50</v>
      </c>
      <c r="M174" s="55">
        <v>292</v>
      </c>
      <c r="N174" s="54">
        <v>91</v>
      </c>
      <c r="O174" s="54">
        <v>8</v>
      </c>
      <c r="P174" s="54" t="s">
        <v>1203</v>
      </c>
      <c r="Q174" s="54" t="s">
        <v>1203</v>
      </c>
      <c r="R174" s="52">
        <v>301</v>
      </c>
      <c r="S174" s="55">
        <v>-61.6220583914195</v>
      </c>
      <c r="T174" s="55">
        <v>44.576684661626601</v>
      </c>
      <c r="U174" s="54">
        <v>47.719327774949001</v>
      </c>
      <c r="V174" s="54">
        <v>1.6902593757889099</v>
      </c>
      <c r="W174" s="54">
        <v>62.382266574436699</v>
      </c>
      <c r="X174" s="52" t="s">
        <v>1204</v>
      </c>
      <c r="Y174" s="52"/>
      <c r="Z174" s="52"/>
      <c r="AA174" s="52" t="b">
        <v>1</v>
      </c>
      <c r="AB174" s="52" t="s">
        <v>165</v>
      </c>
      <c r="AC174" s="49" t="s">
        <v>743</v>
      </c>
      <c r="AD174" s="52">
        <v>3141</v>
      </c>
      <c r="AE174" s="52" t="s">
        <v>147</v>
      </c>
      <c r="AF174" s="56" t="s">
        <v>756</v>
      </c>
      <c r="AG174" s="49" t="s">
        <v>1328</v>
      </c>
      <c r="AH174" s="56"/>
      <c r="AJ174" s="32"/>
    </row>
    <row r="175" spans="1:36" s="17" customFormat="1" ht="14" customHeight="1" x14ac:dyDescent="0.2">
      <c r="A175" s="14" t="s">
        <v>768</v>
      </c>
      <c r="B175" s="9">
        <v>202.6</v>
      </c>
      <c r="C175" s="9">
        <v>217.7</v>
      </c>
      <c r="D175" s="13">
        <v>210.14999999999998</v>
      </c>
      <c r="E175" s="9">
        <v>47.3</v>
      </c>
      <c r="F175" s="9">
        <v>37.4</v>
      </c>
      <c r="G175" s="34">
        <v>12</v>
      </c>
      <c r="H175" s="9">
        <v>240.1</v>
      </c>
      <c r="I175" s="9">
        <v>-64.400000000000006</v>
      </c>
      <c r="J175" s="9">
        <v>96</v>
      </c>
      <c r="K175" s="9">
        <v>4.5</v>
      </c>
      <c r="L175" s="13">
        <v>-50</v>
      </c>
      <c r="M175" s="13">
        <v>286.39999999999998</v>
      </c>
      <c r="N175" s="9"/>
      <c r="O175" s="9"/>
      <c r="P175" s="9">
        <v>47.927861455882912</v>
      </c>
      <c r="Q175" s="9">
        <v>6.3337151228290987</v>
      </c>
      <c r="R175" s="7">
        <v>301</v>
      </c>
      <c r="S175" s="13">
        <v>-66.369216317554304</v>
      </c>
      <c r="T175" s="13">
        <v>40.711429528281698</v>
      </c>
      <c r="U175" s="9">
        <v>47.076259471084299</v>
      </c>
      <c r="V175" s="9">
        <v>2.5563288504353299</v>
      </c>
      <c r="W175" s="9">
        <v>60.693214027328601</v>
      </c>
      <c r="X175" s="7" t="s">
        <v>1202</v>
      </c>
      <c r="Y175" s="7"/>
      <c r="Z175" s="7"/>
      <c r="AA175" s="7" t="b">
        <v>1</v>
      </c>
      <c r="AB175" s="7">
        <v>0</v>
      </c>
      <c r="AC175" s="14" t="s">
        <v>769</v>
      </c>
      <c r="AD175" s="7"/>
      <c r="AE175" s="7" t="s">
        <v>147</v>
      </c>
      <c r="AF175" s="10" t="s">
        <v>770</v>
      </c>
      <c r="AG175" s="14" t="s">
        <v>1329</v>
      </c>
      <c r="AH175" s="10"/>
      <c r="AJ175" s="32"/>
    </row>
    <row r="176" spans="1:36" s="12" customFormat="1" ht="14" customHeight="1" x14ac:dyDescent="0.2">
      <c r="A176" s="56" t="s">
        <v>771</v>
      </c>
      <c r="B176" s="52">
        <v>205.7</v>
      </c>
      <c r="C176" s="52">
        <v>227.3</v>
      </c>
      <c r="D176" s="55">
        <f>(B176+C176)/2</f>
        <v>216.5</v>
      </c>
      <c r="E176" s="54">
        <v>51.11</v>
      </c>
      <c r="F176" s="54">
        <f>360-3.17</f>
        <v>356.83</v>
      </c>
      <c r="G176" s="58">
        <v>27</v>
      </c>
      <c r="H176" s="54">
        <v>30.8</v>
      </c>
      <c r="I176" s="54">
        <v>34.299999999999997</v>
      </c>
      <c r="J176" s="54">
        <v>31</v>
      </c>
      <c r="K176" s="54">
        <v>5.0999999999999996</v>
      </c>
      <c r="L176" s="55">
        <v>-49.6</v>
      </c>
      <c r="M176" s="55">
        <v>308.39999999999998</v>
      </c>
      <c r="N176" s="54"/>
      <c r="O176" s="54"/>
      <c r="P176" s="54">
        <v>47.792099225707268</v>
      </c>
      <c r="Q176" s="54">
        <v>4.061347084040392</v>
      </c>
      <c r="R176" s="52">
        <v>301</v>
      </c>
      <c r="S176" s="55">
        <v>-54.036099680324597</v>
      </c>
      <c r="T176" s="55">
        <v>47.483629471254801</v>
      </c>
      <c r="U176" s="54">
        <v>46.419867775169301</v>
      </c>
      <c r="V176" s="54">
        <v>3.4105381726613002</v>
      </c>
      <c r="W176" s="54">
        <v>59.079566646278899</v>
      </c>
      <c r="X176" s="52" t="s">
        <v>1204</v>
      </c>
      <c r="Y176" s="52"/>
      <c r="Z176" s="52"/>
      <c r="AA176" s="52" t="b">
        <v>1</v>
      </c>
      <c r="AB176" s="52" t="s">
        <v>165</v>
      </c>
      <c r="AC176" s="49" t="s">
        <v>772</v>
      </c>
      <c r="AD176" s="52">
        <v>3311</v>
      </c>
      <c r="AE176" s="52" t="s">
        <v>147</v>
      </c>
      <c r="AF176" s="56" t="s">
        <v>773</v>
      </c>
      <c r="AG176" s="49" t="s">
        <v>1326</v>
      </c>
      <c r="AH176" s="56" t="s">
        <v>1361</v>
      </c>
      <c r="AJ176" s="32"/>
    </row>
    <row r="177" spans="1:36" s="17" customFormat="1" ht="14" customHeight="1" x14ac:dyDescent="0.2">
      <c r="A177" s="56" t="s">
        <v>780</v>
      </c>
      <c r="B177" s="54">
        <v>219</v>
      </c>
      <c r="C177" s="54">
        <v>223</v>
      </c>
      <c r="D177" s="55">
        <v>221</v>
      </c>
      <c r="E177" s="52">
        <v>59.8</v>
      </c>
      <c r="F177" s="52">
        <v>5.7</v>
      </c>
      <c r="G177" s="58">
        <v>3</v>
      </c>
      <c r="H177" s="54"/>
      <c r="I177" s="54"/>
      <c r="J177" s="54"/>
      <c r="K177" s="54">
        <v>4.5999999999999996</v>
      </c>
      <c r="L177" s="55">
        <v>-50</v>
      </c>
      <c r="M177" s="55">
        <v>305</v>
      </c>
      <c r="N177" s="54"/>
      <c r="O177" s="54"/>
      <c r="P177" s="54"/>
      <c r="Q177" s="54"/>
      <c r="R177" s="52">
        <v>301</v>
      </c>
      <c r="S177" s="55">
        <v>-56.891148254055899</v>
      </c>
      <c r="T177" s="55">
        <v>45.823914967380198</v>
      </c>
      <c r="U177" s="54">
        <v>46.041178267360799</v>
      </c>
      <c r="V177" s="54">
        <v>3.8904489598693401</v>
      </c>
      <c r="W177" s="54">
        <v>58.1952919941834</v>
      </c>
      <c r="X177" s="52" t="s">
        <v>1202</v>
      </c>
      <c r="Y177" s="56"/>
      <c r="Z177" s="56"/>
      <c r="AA177" s="52" t="b">
        <v>0</v>
      </c>
      <c r="AB177" s="52" t="s">
        <v>31</v>
      </c>
      <c r="AC177" s="49" t="s">
        <v>781</v>
      </c>
      <c r="AD177" s="52"/>
      <c r="AE177" s="52" t="s">
        <v>147</v>
      </c>
      <c r="AF177" s="56"/>
      <c r="AG177" s="49"/>
      <c r="AH177" s="56"/>
      <c r="AJ177" s="32"/>
    </row>
    <row r="178" spans="1:36" s="17" customFormat="1" ht="14" customHeight="1" x14ac:dyDescent="0.2">
      <c r="A178" s="10" t="s">
        <v>783</v>
      </c>
      <c r="B178" s="9">
        <v>227</v>
      </c>
      <c r="C178" s="9">
        <v>229.2</v>
      </c>
      <c r="D178" s="13">
        <v>228.1</v>
      </c>
      <c r="E178" s="7">
        <v>74.8</v>
      </c>
      <c r="F178" s="7">
        <v>100.6</v>
      </c>
      <c r="G178" s="6">
        <v>11</v>
      </c>
      <c r="H178" s="9">
        <v>70</v>
      </c>
      <c r="I178" s="9">
        <v>77</v>
      </c>
      <c r="J178" s="9">
        <v>241</v>
      </c>
      <c r="K178" s="7">
        <v>2.9</v>
      </c>
      <c r="L178" s="13">
        <v>-47.1</v>
      </c>
      <c r="M178" s="6">
        <v>301.60000000000002</v>
      </c>
      <c r="N178" s="9"/>
      <c r="O178" s="9"/>
      <c r="P178" s="9">
        <v>74.663991384346986</v>
      </c>
      <c r="Q178" s="9">
        <v>5.3185152667631135</v>
      </c>
      <c r="R178" s="7">
        <v>301</v>
      </c>
      <c r="S178" s="13">
        <v>-57.812525330611599</v>
      </c>
      <c r="T178" s="13">
        <v>39.235609172553602</v>
      </c>
      <c r="U178" s="9">
        <v>46.041178267360799</v>
      </c>
      <c r="V178" s="9">
        <v>3.8904489598693401</v>
      </c>
      <c r="W178" s="9">
        <v>58.1952919941834</v>
      </c>
      <c r="X178" s="7" t="s">
        <v>1202</v>
      </c>
      <c r="Y178" s="10"/>
      <c r="Z178" s="10"/>
      <c r="AA178" s="7" t="b">
        <v>1</v>
      </c>
      <c r="AB178" s="7">
        <v>0</v>
      </c>
      <c r="AC178" s="14" t="s">
        <v>784</v>
      </c>
      <c r="AD178" s="7"/>
      <c r="AE178" s="7" t="s">
        <v>147</v>
      </c>
      <c r="AF178" s="10" t="s">
        <v>785</v>
      </c>
      <c r="AG178" s="14"/>
      <c r="AH178" s="10"/>
      <c r="AJ178" s="32"/>
    </row>
    <row r="179" spans="1:36" s="17" customFormat="1" ht="14" customHeight="1" x14ac:dyDescent="0.2">
      <c r="A179" s="56" t="s">
        <v>790</v>
      </c>
      <c r="B179" s="54">
        <v>227.3</v>
      </c>
      <c r="C179" s="54">
        <v>237</v>
      </c>
      <c r="D179" s="55">
        <f>(B179+C179)/2</f>
        <v>232.15</v>
      </c>
      <c r="E179" s="54">
        <v>49</v>
      </c>
      <c r="F179" s="52">
        <v>9.5</v>
      </c>
      <c r="G179" s="58">
        <v>4</v>
      </c>
      <c r="H179" s="54">
        <v>36.4</v>
      </c>
      <c r="I179" s="54">
        <v>36.200000000000003</v>
      </c>
      <c r="J179" s="54">
        <v>209.1</v>
      </c>
      <c r="K179" s="54">
        <v>6.4</v>
      </c>
      <c r="L179" s="55">
        <v>-49</v>
      </c>
      <c r="M179" s="55">
        <v>311</v>
      </c>
      <c r="N179" s="54">
        <v>173.3</v>
      </c>
      <c r="O179" s="54">
        <v>7</v>
      </c>
      <c r="P179" s="54" t="s">
        <v>1203</v>
      </c>
      <c r="Q179" s="54" t="s">
        <v>1203</v>
      </c>
      <c r="R179" s="52">
        <v>301</v>
      </c>
      <c r="S179" s="55">
        <v>-52.921564642378598</v>
      </c>
      <c r="T179" s="55">
        <v>46.9481872813435</v>
      </c>
      <c r="U179" s="54">
        <v>46.041178267360799</v>
      </c>
      <c r="V179" s="54">
        <v>3.8904489598693401</v>
      </c>
      <c r="W179" s="54">
        <v>58.1952919941834</v>
      </c>
      <c r="X179" s="52" t="s">
        <v>1204</v>
      </c>
      <c r="Y179" s="56"/>
      <c r="Z179" s="56"/>
      <c r="AA179" s="52" t="b">
        <v>1</v>
      </c>
      <c r="AB179" s="52" t="s">
        <v>31</v>
      </c>
      <c r="AC179" s="49" t="s">
        <v>743</v>
      </c>
      <c r="AD179" s="52">
        <v>3141</v>
      </c>
      <c r="AE179" s="52" t="s">
        <v>147</v>
      </c>
      <c r="AF179" s="56"/>
      <c r="AG179" s="49"/>
      <c r="AH179" s="56"/>
      <c r="AJ179" s="32"/>
    </row>
    <row r="180" spans="1:36" s="17" customFormat="1" ht="14" customHeight="1" x14ac:dyDescent="0.2">
      <c r="A180" s="10" t="s">
        <v>795</v>
      </c>
      <c r="B180" s="9">
        <v>232</v>
      </c>
      <c r="C180" s="9">
        <v>245</v>
      </c>
      <c r="D180" s="13">
        <v>238.5</v>
      </c>
      <c r="E180" s="9">
        <v>71.400000000000006</v>
      </c>
      <c r="F180" s="9">
        <v>115.3</v>
      </c>
      <c r="G180" s="6">
        <v>18</v>
      </c>
      <c r="H180" s="7">
        <v>109.1</v>
      </c>
      <c r="I180" s="7">
        <v>80.3</v>
      </c>
      <c r="J180" s="7">
        <v>18.600000000000001</v>
      </c>
      <c r="K180" s="7">
        <v>5.7</v>
      </c>
      <c r="L180" s="6">
        <v>-60.3</v>
      </c>
      <c r="M180" s="6">
        <v>332.4</v>
      </c>
      <c r="N180" s="9">
        <v>10.5</v>
      </c>
      <c r="O180" s="9">
        <v>11.2</v>
      </c>
      <c r="P180" s="9" t="s">
        <v>1203</v>
      </c>
      <c r="Q180" s="9" t="s">
        <v>1203</v>
      </c>
      <c r="R180" s="7">
        <v>301</v>
      </c>
      <c r="S180" s="13">
        <v>-46.344321059183002</v>
      </c>
      <c r="T180" s="13">
        <v>70.686748548168595</v>
      </c>
      <c r="U180" s="9">
        <v>46.041178267360799</v>
      </c>
      <c r="V180" s="9">
        <v>3.8904489598693401</v>
      </c>
      <c r="W180" s="9">
        <v>58.1952919941834</v>
      </c>
      <c r="X180" s="7" t="s">
        <v>1202</v>
      </c>
      <c r="Y180" s="7"/>
      <c r="Z180" s="7"/>
      <c r="AA180" s="7" t="b">
        <v>1</v>
      </c>
      <c r="AB180" s="7">
        <v>0</v>
      </c>
      <c r="AC180" s="10" t="s">
        <v>796</v>
      </c>
      <c r="AD180" s="7"/>
      <c r="AE180" s="7" t="s">
        <v>1369</v>
      </c>
      <c r="AF180" s="10" t="s">
        <v>797</v>
      </c>
      <c r="AG180" s="14"/>
      <c r="AH180" s="10"/>
      <c r="AJ180" s="32"/>
    </row>
    <row r="181" spans="1:36" s="12" customFormat="1" ht="14" customHeight="1" x14ac:dyDescent="0.2">
      <c r="A181" s="56" t="s">
        <v>804</v>
      </c>
      <c r="B181" s="54">
        <v>237</v>
      </c>
      <c r="C181" s="52">
        <v>246.7</v>
      </c>
      <c r="D181" s="55">
        <f>(B181+C181)/2</f>
        <v>241.85</v>
      </c>
      <c r="E181" s="52">
        <v>48.7</v>
      </c>
      <c r="F181" s="54">
        <v>6.97</v>
      </c>
      <c r="G181" s="58">
        <v>58</v>
      </c>
      <c r="H181" s="52">
        <v>26.7</v>
      </c>
      <c r="I181" s="52">
        <v>36.299999999999997</v>
      </c>
      <c r="J181" s="52">
        <v>32.5</v>
      </c>
      <c r="K181" s="54">
        <v>3.3</v>
      </c>
      <c r="L181" s="55">
        <v>-54.3</v>
      </c>
      <c r="M181" s="55">
        <v>320.60000000000002</v>
      </c>
      <c r="N181" s="54"/>
      <c r="O181" s="54"/>
      <c r="P181" s="54">
        <v>47.2979579719943</v>
      </c>
      <c r="Q181" s="54">
        <v>2.7421175945369334</v>
      </c>
      <c r="R181" s="52">
        <v>301</v>
      </c>
      <c r="S181" s="55">
        <v>-49.700737125519701</v>
      </c>
      <c r="T181" s="55">
        <v>58.615474076963203</v>
      </c>
      <c r="U181" s="54">
        <v>46.041178267360799</v>
      </c>
      <c r="V181" s="54">
        <v>3.8904489598693401</v>
      </c>
      <c r="W181" s="54">
        <v>58.1952919941834</v>
      </c>
      <c r="X181" s="52" t="s">
        <v>1204</v>
      </c>
      <c r="Y181" s="56"/>
      <c r="Z181" s="56"/>
      <c r="AA181" s="52" t="b">
        <v>1</v>
      </c>
      <c r="AB181" s="52" t="s">
        <v>165</v>
      </c>
      <c r="AC181" s="49" t="s">
        <v>805</v>
      </c>
      <c r="AD181" s="52">
        <v>2411</v>
      </c>
      <c r="AE181" s="52" t="s">
        <v>147</v>
      </c>
      <c r="AF181" s="56" t="s">
        <v>806</v>
      </c>
      <c r="AG181" s="49" t="s">
        <v>1387</v>
      </c>
      <c r="AH181" s="56"/>
      <c r="AJ181" s="32"/>
    </row>
    <row r="182" spans="1:36" s="12" customFormat="1" ht="14" customHeight="1" x14ac:dyDescent="0.2">
      <c r="A182" s="49" t="s">
        <v>807</v>
      </c>
      <c r="B182" s="54">
        <v>237</v>
      </c>
      <c r="C182" s="52">
        <v>246.7</v>
      </c>
      <c r="D182" s="55">
        <f>(B182+C182)/2</f>
        <v>241.85</v>
      </c>
      <c r="E182" s="54">
        <v>50</v>
      </c>
      <c r="F182" s="54">
        <v>19.5</v>
      </c>
      <c r="G182" s="58">
        <v>5</v>
      </c>
      <c r="H182" s="54">
        <v>42.9</v>
      </c>
      <c r="I182" s="54">
        <v>51.1</v>
      </c>
      <c r="J182" s="54">
        <v>39.799999999999997</v>
      </c>
      <c r="K182" s="54">
        <v>12.3</v>
      </c>
      <c r="L182" s="55">
        <v>-53</v>
      </c>
      <c r="M182" s="55">
        <v>303</v>
      </c>
      <c r="N182" s="54"/>
      <c r="O182" s="54"/>
      <c r="P182" s="54">
        <v>34.569074624635398</v>
      </c>
      <c r="Q182" s="54">
        <v>13.196864243365788</v>
      </c>
      <c r="R182" s="52">
        <v>301</v>
      </c>
      <c r="S182" s="55">
        <v>-59.050167621447699</v>
      </c>
      <c r="T182" s="55">
        <v>50.401883754841599</v>
      </c>
      <c r="U182" s="54">
        <v>46.041178267360799</v>
      </c>
      <c r="V182" s="54">
        <v>3.8904489598693401</v>
      </c>
      <c r="W182" s="54">
        <v>58.1952919941834</v>
      </c>
      <c r="X182" s="52" t="s">
        <v>1204</v>
      </c>
      <c r="Y182" s="56"/>
      <c r="Z182" s="56"/>
      <c r="AA182" s="52" t="b">
        <v>1</v>
      </c>
      <c r="AB182" s="52" t="s">
        <v>165</v>
      </c>
      <c r="AC182" s="49" t="s">
        <v>808</v>
      </c>
      <c r="AD182" s="52">
        <v>3253</v>
      </c>
      <c r="AE182" s="52" t="s">
        <v>147</v>
      </c>
      <c r="AF182" s="56" t="s">
        <v>809</v>
      </c>
      <c r="AG182" s="49"/>
      <c r="AH182" s="56"/>
      <c r="AJ182" s="32"/>
    </row>
    <row r="183" spans="1:36" s="12" customFormat="1" ht="14" customHeight="1" x14ac:dyDescent="0.2">
      <c r="A183" s="56" t="s">
        <v>815</v>
      </c>
      <c r="B183" s="52"/>
      <c r="C183" s="52"/>
      <c r="D183" s="55">
        <v>246</v>
      </c>
      <c r="E183" s="52"/>
      <c r="F183" s="54"/>
      <c r="G183" s="58"/>
      <c r="H183" s="54"/>
      <c r="I183" s="54">
        <v>14.4</v>
      </c>
      <c r="J183" s="54">
        <v>24.7</v>
      </c>
      <c r="K183" s="54">
        <v>3.8</v>
      </c>
      <c r="L183" s="55">
        <v>-49</v>
      </c>
      <c r="M183" s="58">
        <v>348.2</v>
      </c>
      <c r="N183" s="52"/>
      <c r="O183" s="52"/>
      <c r="P183" s="54">
        <v>56.70059525490371</v>
      </c>
      <c r="Q183" s="54">
        <v>87.134016017401137</v>
      </c>
      <c r="R183" s="52">
        <v>301</v>
      </c>
      <c r="S183" s="55">
        <v>-32.555179837556203</v>
      </c>
      <c r="T183" s="55">
        <v>65.017650322818497</v>
      </c>
      <c r="U183" s="54">
        <v>46.041178267360799</v>
      </c>
      <c r="V183" s="54">
        <v>3.8904489598693401</v>
      </c>
      <c r="W183" s="54">
        <v>58.1952919941834</v>
      </c>
      <c r="X183" s="52" t="s">
        <v>1204</v>
      </c>
      <c r="Y183" s="56"/>
      <c r="Z183" s="56"/>
      <c r="AA183" s="52" t="b">
        <v>0</v>
      </c>
      <c r="AB183" s="52" t="s">
        <v>31</v>
      </c>
      <c r="AC183" s="49" t="s">
        <v>816</v>
      </c>
      <c r="AD183" s="52"/>
      <c r="AE183" s="52" t="s">
        <v>147</v>
      </c>
      <c r="AF183" s="56"/>
      <c r="AG183" s="49" t="s">
        <v>1392</v>
      </c>
      <c r="AH183" s="56"/>
      <c r="AJ183" s="32"/>
    </row>
    <row r="184" spans="1:36" s="12" customFormat="1" ht="14" customHeight="1" x14ac:dyDescent="0.2">
      <c r="A184" s="14" t="s">
        <v>818</v>
      </c>
      <c r="B184" s="9">
        <v>242.5</v>
      </c>
      <c r="C184" s="9">
        <v>254.5</v>
      </c>
      <c r="D184" s="13">
        <v>248.5</v>
      </c>
      <c r="E184" s="7">
        <v>74.900000000000006</v>
      </c>
      <c r="F184" s="9">
        <v>100.5</v>
      </c>
      <c r="G184" s="6">
        <v>10</v>
      </c>
      <c r="H184" s="9">
        <v>109</v>
      </c>
      <c r="I184" s="9">
        <v>78</v>
      </c>
      <c r="J184" s="9">
        <v>40</v>
      </c>
      <c r="K184" s="9">
        <v>7.8</v>
      </c>
      <c r="L184" s="13">
        <v>-59.3</v>
      </c>
      <c r="M184" s="6">
        <v>325.8</v>
      </c>
      <c r="N184" s="7"/>
      <c r="O184" s="7"/>
      <c r="P184" s="9">
        <v>12.029314066851537</v>
      </c>
      <c r="Q184" s="9">
        <v>14.519742340149966</v>
      </c>
      <c r="R184" s="7">
        <v>301</v>
      </c>
      <c r="S184" s="13">
        <v>-49.002029000062599</v>
      </c>
      <c r="T184" s="13">
        <v>67.382117700481203</v>
      </c>
      <c r="U184" s="9">
        <v>46.041178267360799</v>
      </c>
      <c r="V184" s="9">
        <v>3.8904489598693401</v>
      </c>
      <c r="W184" s="9">
        <v>58.1952919941834</v>
      </c>
      <c r="X184" s="7" t="s">
        <v>1202</v>
      </c>
      <c r="Y184" s="10"/>
      <c r="Z184" s="10"/>
      <c r="AA184" s="7" t="b">
        <v>1</v>
      </c>
      <c r="AB184" s="7">
        <v>0</v>
      </c>
      <c r="AC184" s="14" t="s">
        <v>784</v>
      </c>
      <c r="AD184" s="7"/>
      <c r="AE184" s="7" t="s">
        <v>147</v>
      </c>
      <c r="AF184" s="10" t="s">
        <v>819</v>
      </c>
      <c r="AG184" s="14" t="s">
        <v>1272</v>
      </c>
      <c r="AH184" s="10"/>
      <c r="AJ184" s="32"/>
    </row>
    <row r="185" spans="1:36" s="12" customFormat="1" ht="14" customHeight="1" x14ac:dyDescent="0.2">
      <c r="A185" s="56" t="s">
        <v>820</v>
      </c>
      <c r="B185" s="52">
        <v>246.7</v>
      </c>
      <c r="C185" s="52">
        <v>251.9</v>
      </c>
      <c r="D185" s="55">
        <f>(B185+C185)/2</f>
        <v>249.3</v>
      </c>
      <c r="E185" s="52">
        <v>50.8</v>
      </c>
      <c r="F185" s="54">
        <v>11</v>
      </c>
      <c r="G185" s="58">
        <v>8</v>
      </c>
      <c r="H185" s="54">
        <v>28.5</v>
      </c>
      <c r="I185" s="54">
        <v>30.2</v>
      </c>
      <c r="J185" s="54">
        <v>14.3</v>
      </c>
      <c r="K185" s="54">
        <v>15.1</v>
      </c>
      <c r="L185" s="55">
        <v>-49</v>
      </c>
      <c r="M185" s="55">
        <v>326</v>
      </c>
      <c r="N185" s="54"/>
      <c r="O185" s="54"/>
      <c r="P185" s="54">
        <v>24.568166080098155</v>
      </c>
      <c r="Q185" s="54">
        <v>11.399059651562743</v>
      </c>
      <c r="R185" s="52">
        <v>301</v>
      </c>
      <c r="S185" s="55">
        <v>-44.270279129655499</v>
      </c>
      <c r="T185" s="55">
        <v>54.024202880712402</v>
      </c>
      <c r="U185" s="54">
        <v>46.041178267360799</v>
      </c>
      <c r="V185" s="54">
        <v>3.8904489598693401</v>
      </c>
      <c r="W185" s="54">
        <v>58.1952919941834</v>
      </c>
      <c r="X185" s="52" t="s">
        <v>1204</v>
      </c>
      <c r="Y185" s="56"/>
      <c r="Z185" s="56"/>
      <c r="AA185" s="52" t="b">
        <v>1</v>
      </c>
      <c r="AB185" s="52" t="s">
        <v>165</v>
      </c>
      <c r="AC185" s="49" t="s">
        <v>821</v>
      </c>
      <c r="AD185" s="52">
        <v>158</v>
      </c>
      <c r="AE185" s="52" t="s">
        <v>147</v>
      </c>
      <c r="AF185" s="56" t="s">
        <v>817</v>
      </c>
      <c r="AG185" s="49"/>
      <c r="AH185" s="56"/>
      <c r="AJ185" s="32"/>
    </row>
    <row r="186" spans="1:36" s="12" customFormat="1" ht="14" customHeight="1" x14ac:dyDescent="0.2">
      <c r="A186" s="56" t="s">
        <v>822</v>
      </c>
      <c r="B186" s="52">
        <v>246.7</v>
      </c>
      <c r="C186" s="52">
        <v>251.9</v>
      </c>
      <c r="D186" s="55">
        <f>(B186+C186)/2</f>
        <v>249.3</v>
      </c>
      <c r="E186" s="52">
        <v>48.2</v>
      </c>
      <c r="F186" s="52">
        <v>6.7</v>
      </c>
      <c r="G186" s="58">
        <v>6</v>
      </c>
      <c r="H186" s="54">
        <v>209</v>
      </c>
      <c r="I186" s="54">
        <v>-16</v>
      </c>
      <c r="J186" s="54">
        <v>14.3</v>
      </c>
      <c r="K186" s="54">
        <v>4.8</v>
      </c>
      <c r="L186" s="55">
        <v>-43.1</v>
      </c>
      <c r="M186" s="55">
        <v>325.7</v>
      </c>
      <c r="N186" s="54"/>
      <c r="O186" s="54"/>
      <c r="P186" s="61">
        <v>32.17607322491267</v>
      </c>
      <c r="Q186" s="64">
        <v>11.990231577343385</v>
      </c>
      <c r="R186" s="52">
        <v>301</v>
      </c>
      <c r="S186" s="55">
        <v>-41.1663546742232</v>
      </c>
      <c r="T186" s="55">
        <v>47.184113134298002</v>
      </c>
      <c r="U186" s="54">
        <v>46.041178267360799</v>
      </c>
      <c r="V186" s="54">
        <v>3.8904489598693401</v>
      </c>
      <c r="W186" s="54">
        <v>58.1952919941834</v>
      </c>
      <c r="X186" s="52" t="s">
        <v>1204</v>
      </c>
      <c r="Y186" s="56"/>
      <c r="Z186" s="56"/>
      <c r="AA186" s="52" t="b">
        <v>1</v>
      </c>
      <c r="AB186" s="52" t="s">
        <v>165</v>
      </c>
      <c r="AC186" s="49" t="s">
        <v>823</v>
      </c>
      <c r="AD186" s="52">
        <v>1028</v>
      </c>
      <c r="AE186" s="52" t="s">
        <v>147</v>
      </c>
      <c r="AF186" s="56" t="s">
        <v>817</v>
      </c>
      <c r="AG186" s="49" t="s">
        <v>1326</v>
      </c>
      <c r="AH186" s="56"/>
      <c r="AJ186" s="32"/>
    </row>
    <row r="187" spans="1:36" s="12" customFormat="1" ht="14" customHeight="1" x14ac:dyDescent="0.2">
      <c r="A187" s="56" t="s">
        <v>826</v>
      </c>
      <c r="B187" s="54">
        <v>247.1</v>
      </c>
      <c r="C187" s="54">
        <v>252.2</v>
      </c>
      <c r="D187" s="55">
        <v>249.64999999999998</v>
      </c>
      <c r="E187" s="54">
        <v>52.203983000000001</v>
      </c>
      <c r="F187" s="54">
        <v>55.715466999999997</v>
      </c>
      <c r="G187" s="53">
        <v>57</v>
      </c>
      <c r="H187" s="54">
        <v>48.8</v>
      </c>
      <c r="I187" s="54">
        <v>46.7</v>
      </c>
      <c r="J187" s="54">
        <v>26.8</v>
      </c>
      <c r="K187" s="54">
        <v>3.7</v>
      </c>
      <c r="L187" s="55">
        <v>-53</v>
      </c>
      <c r="M187" s="55">
        <v>339.9</v>
      </c>
      <c r="N187" s="54">
        <v>24.3</v>
      </c>
      <c r="O187" s="54">
        <v>3.9</v>
      </c>
      <c r="P187" s="54" t="s">
        <v>1203</v>
      </c>
      <c r="Q187" s="54" t="s">
        <v>1203</v>
      </c>
      <c r="R187" s="52">
        <v>301</v>
      </c>
      <c r="S187" s="55">
        <v>-39.126576896704002</v>
      </c>
      <c r="T187" s="55">
        <v>64.896460902930698</v>
      </c>
      <c r="U187" s="54">
        <v>46.041178267360799</v>
      </c>
      <c r="V187" s="54">
        <v>3.8904489598693401</v>
      </c>
      <c r="W187" s="54">
        <v>58.1952919941834</v>
      </c>
      <c r="X187" s="52" t="s">
        <v>1204</v>
      </c>
      <c r="Y187" s="52">
        <v>0.7</v>
      </c>
      <c r="Z187" s="52"/>
      <c r="AA187" s="52" t="s">
        <v>211</v>
      </c>
      <c r="AB187" s="52" t="s">
        <v>211</v>
      </c>
      <c r="AC187" s="49" t="s">
        <v>827</v>
      </c>
      <c r="AD187" s="52"/>
      <c r="AE187" s="52" t="s">
        <v>1369</v>
      </c>
      <c r="AF187" s="56" t="s">
        <v>817</v>
      </c>
      <c r="AG187" s="49"/>
      <c r="AH187" s="56"/>
      <c r="AJ187" s="32"/>
    </row>
    <row r="188" spans="1:36" s="17" customFormat="1" ht="14" customHeight="1" x14ac:dyDescent="0.2">
      <c r="A188" s="56" t="s">
        <v>828</v>
      </c>
      <c r="B188" s="52">
        <v>248.4</v>
      </c>
      <c r="C188" s="52">
        <v>251.6</v>
      </c>
      <c r="D188" s="55">
        <v>250</v>
      </c>
      <c r="E188" s="52">
        <v>71.900000000000006</v>
      </c>
      <c r="F188" s="52">
        <v>84</v>
      </c>
      <c r="G188" s="58">
        <v>29</v>
      </c>
      <c r="H188" s="54">
        <v>84</v>
      </c>
      <c r="I188" s="54">
        <v>75</v>
      </c>
      <c r="J188" s="54">
        <v>7.1</v>
      </c>
      <c r="K188" s="54">
        <v>10</v>
      </c>
      <c r="L188" s="55">
        <v>-59</v>
      </c>
      <c r="M188" s="55">
        <v>330</v>
      </c>
      <c r="N188" s="54"/>
      <c r="O188" s="54"/>
      <c r="P188" s="54">
        <v>2.3459033372717961</v>
      </c>
      <c r="Q188" s="54">
        <v>22.925067332861012</v>
      </c>
      <c r="R188" s="52">
        <v>301</v>
      </c>
      <c r="S188" s="55">
        <v>-46.903242185123403</v>
      </c>
      <c r="T188" s="55">
        <v>68.229614905313795</v>
      </c>
      <c r="U188" s="54">
        <v>46.041178267360799</v>
      </c>
      <c r="V188" s="54">
        <v>3.8904489598693401</v>
      </c>
      <c r="W188" s="54">
        <v>58.1952919941834</v>
      </c>
      <c r="X188" s="52" t="s">
        <v>1202</v>
      </c>
      <c r="Y188" s="56"/>
      <c r="Z188" s="56"/>
      <c r="AA188" s="52" t="b">
        <v>0</v>
      </c>
      <c r="AB188" s="52">
        <v>0</v>
      </c>
      <c r="AC188" s="49" t="s">
        <v>829</v>
      </c>
      <c r="AD188" s="59">
        <v>2832</v>
      </c>
      <c r="AE188" s="52" t="s">
        <v>147</v>
      </c>
      <c r="AF188" s="56" t="s">
        <v>1397</v>
      </c>
      <c r="AG188" s="49"/>
      <c r="AH188" s="56"/>
      <c r="AJ188" s="32"/>
    </row>
    <row r="189" spans="1:36" s="12" customFormat="1" ht="14" customHeight="1" x14ac:dyDescent="0.2">
      <c r="A189" s="56" t="s">
        <v>830</v>
      </c>
      <c r="B189" s="52">
        <v>248.4</v>
      </c>
      <c r="C189" s="52">
        <v>251.6</v>
      </c>
      <c r="D189" s="55">
        <v>250</v>
      </c>
      <c r="E189" s="52">
        <v>69.5</v>
      </c>
      <c r="F189" s="52">
        <v>88.7</v>
      </c>
      <c r="G189" s="58">
        <v>95</v>
      </c>
      <c r="H189" s="54">
        <v>93.7</v>
      </c>
      <c r="I189" s="54">
        <v>74.7</v>
      </c>
      <c r="J189" s="54">
        <v>18.8</v>
      </c>
      <c r="K189" s="54">
        <v>3.3</v>
      </c>
      <c r="L189" s="55">
        <v>-54.6</v>
      </c>
      <c r="M189" s="55">
        <v>326</v>
      </c>
      <c r="N189" s="54">
        <v>7.6</v>
      </c>
      <c r="O189" s="54">
        <v>5.3</v>
      </c>
      <c r="P189" s="54" t="s">
        <v>1203</v>
      </c>
      <c r="Q189" s="54" t="s">
        <v>1203</v>
      </c>
      <c r="R189" s="52">
        <v>301</v>
      </c>
      <c r="S189" s="55">
        <v>-46.986791170590401</v>
      </c>
      <c r="T189" s="55">
        <v>61.031787026694701</v>
      </c>
      <c r="U189" s="54">
        <v>46.041178267360799</v>
      </c>
      <c r="V189" s="54">
        <v>3.8904489598693401</v>
      </c>
      <c r="W189" s="54">
        <v>58.1952919941834</v>
      </c>
      <c r="X189" s="52" t="s">
        <v>1202</v>
      </c>
      <c r="Y189" s="56"/>
      <c r="Z189" s="56"/>
      <c r="AA189" s="52" t="b">
        <v>0</v>
      </c>
      <c r="AB189" s="52">
        <v>0</v>
      </c>
      <c r="AC189" s="49" t="s">
        <v>831</v>
      </c>
      <c r="AD189" s="52"/>
      <c r="AE189" s="52" t="s">
        <v>147</v>
      </c>
      <c r="AF189" s="56" t="s">
        <v>1397</v>
      </c>
      <c r="AG189" s="49"/>
      <c r="AH189" s="56" t="s">
        <v>832</v>
      </c>
      <c r="AJ189" s="32"/>
    </row>
    <row r="190" spans="1:36" s="12" customFormat="1" ht="14" customHeight="1" x14ac:dyDescent="0.2">
      <c r="A190" s="10" t="s">
        <v>833</v>
      </c>
      <c r="B190" s="7">
        <f>250-1.6</f>
        <v>248.4</v>
      </c>
      <c r="C190" s="7">
        <f>250+1.6</f>
        <v>251.6</v>
      </c>
      <c r="D190" s="13">
        <v>250</v>
      </c>
      <c r="E190" s="9">
        <v>73</v>
      </c>
      <c r="F190" s="7">
        <v>102.4</v>
      </c>
      <c r="G190" s="6">
        <v>5</v>
      </c>
      <c r="H190" s="9">
        <v>111</v>
      </c>
      <c r="I190" s="7">
        <v>74.7</v>
      </c>
      <c r="J190" s="7">
        <v>88.9</v>
      </c>
      <c r="K190" s="9">
        <v>8.1999999999999993</v>
      </c>
      <c r="L190" s="13">
        <v>-52.7</v>
      </c>
      <c r="M190" s="6">
        <v>328.4</v>
      </c>
      <c r="N190" s="7">
        <v>31</v>
      </c>
      <c r="O190" s="7">
        <v>13.9</v>
      </c>
      <c r="P190" s="9" t="s">
        <v>1203</v>
      </c>
      <c r="Q190" s="9" t="s">
        <v>1203</v>
      </c>
      <c r="R190" s="7">
        <v>301</v>
      </c>
      <c r="S190" s="13">
        <v>-44.839684873306297</v>
      </c>
      <c r="T190" s="13">
        <v>59.578316963062399</v>
      </c>
      <c r="U190" s="9">
        <v>46.041178267360799</v>
      </c>
      <c r="V190" s="9">
        <v>3.8904489598693401</v>
      </c>
      <c r="W190" s="9">
        <v>58.1952919941834</v>
      </c>
      <c r="X190" s="7" t="s">
        <v>1202</v>
      </c>
      <c r="Y190" s="10"/>
      <c r="Z190" s="10"/>
      <c r="AA190" s="7" t="b">
        <v>1</v>
      </c>
      <c r="AB190" s="7">
        <v>0</v>
      </c>
      <c r="AC190" s="14" t="s">
        <v>834</v>
      </c>
      <c r="AD190" s="7"/>
      <c r="AE190" s="7" t="s">
        <v>147</v>
      </c>
      <c r="AF190" s="10" t="s">
        <v>1397</v>
      </c>
      <c r="AG190" s="14"/>
      <c r="AH190" s="10"/>
      <c r="AJ190" s="32"/>
    </row>
    <row r="191" spans="1:36" s="12" customFormat="1" ht="14" customHeight="1" x14ac:dyDescent="0.2">
      <c r="A191" s="14" t="s">
        <v>838</v>
      </c>
      <c r="B191" s="7">
        <v>248.4</v>
      </c>
      <c r="C191" s="7">
        <v>251.6</v>
      </c>
      <c r="D191" s="13">
        <v>250</v>
      </c>
      <c r="E191" s="7">
        <v>66.099999999999994</v>
      </c>
      <c r="F191" s="7">
        <v>111.6</v>
      </c>
      <c r="G191" s="6">
        <v>5</v>
      </c>
      <c r="H191" s="7">
        <v>101.5</v>
      </c>
      <c r="I191" s="28">
        <v>77</v>
      </c>
      <c r="J191" s="7">
        <v>63.1</v>
      </c>
      <c r="K191" s="7">
        <v>9.6999999999999993</v>
      </c>
      <c r="L191" s="13">
        <v>-52.8</v>
      </c>
      <c r="M191" s="13">
        <v>334.4</v>
      </c>
      <c r="N191" s="9"/>
      <c r="O191" s="9"/>
      <c r="P191" s="9">
        <v>19.548953760797904</v>
      </c>
      <c r="Q191" s="9">
        <v>17.742631617982386</v>
      </c>
      <c r="R191" s="7">
        <v>301</v>
      </c>
      <c r="S191" s="13">
        <v>-41.7751917769518</v>
      </c>
      <c r="T191" s="13">
        <v>62.2587866962498</v>
      </c>
      <c r="U191" s="9">
        <v>46.041178267360799</v>
      </c>
      <c r="V191" s="9">
        <v>3.8904489598693401</v>
      </c>
      <c r="W191" s="9">
        <v>58.1952919941834</v>
      </c>
      <c r="X191" s="7" t="s">
        <v>1202</v>
      </c>
      <c r="Y191" s="10"/>
      <c r="Z191" s="10"/>
      <c r="AA191" s="7" t="b">
        <v>1</v>
      </c>
      <c r="AB191" s="7">
        <v>0</v>
      </c>
      <c r="AC191" s="14" t="s">
        <v>1267</v>
      </c>
      <c r="AD191" s="7"/>
      <c r="AE191" s="7" t="s">
        <v>147</v>
      </c>
      <c r="AF191" s="10" t="s">
        <v>1397</v>
      </c>
      <c r="AG191" s="14"/>
      <c r="AH191" s="10"/>
      <c r="AJ191" s="32"/>
    </row>
    <row r="192" spans="1:36" s="17" customFormat="1" ht="14" customHeight="1" x14ac:dyDescent="0.2">
      <c r="A192" s="56" t="s">
        <v>835</v>
      </c>
      <c r="B192" s="52">
        <v>248.4</v>
      </c>
      <c r="C192" s="52">
        <v>251.6</v>
      </c>
      <c r="D192" s="55">
        <v>250</v>
      </c>
      <c r="E192" s="52">
        <v>67.599999999999994</v>
      </c>
      <c r="F192" s="52">
        <v>104.1</v>
      </c>
      <c r="G192" s="58">
        <v>45</v>
      </c>
      <c r="H192" s="52">
        <v>83.7</v>
      </c>
      <c r="I192" s="52">
        <v>78.5</v>
      </c>
      <c r="J192" s="54">
        <v>141</v>
      </c>
      <c r="K192" s="52">
        <v>3.9</v>
      </c>
      <c r="L192" s="55">
        <v>-60.8</v>
      </c>
      <c r="M192" s="55">
        <v>333.5</v>
      </c>
      <c r="N192" s="54">
        <v>42</v>
      </c>
      <c r="O192" s="54">
        <v>7.1</v>
      </c>
      <c r="P192" s="54" t="s">
        <v>1203</v>
      </c>
      <c r="Q192" s="54" t="s">
        <v>1203</v>
      </c>
      <c r="R192" s="52">
        <v>301</v>
      </c>
      <c r="S192" s="55">
        <v>-46.064956980216799</v>
      </c>
      <c r="T192" s="55">
        <v>71.671448774988505</v>
      </c>
      <c r="U192" s="54">
        <v>46.041178267360799</v>
      </c>
      <c r="V192" s="54">
        <v>3.8904489598693401</v>
      </c>
      <c r="W192" s="54">
        <v>58.1952919941834</v>
      </c>
      <c r="X192" s="52" t="s">
        <v>217</v>
      </c>
      <c r="Y192" s="56"/>
      <c r="Z192" s="56"/>
      <c r="AA192" s="52" t="b">
        <v>1</v>
      </c>
      <c r="AB192" s="52" t="s">
        <v>31</v>
      </c>
      <c r="AC192" s="49" t="s">
        <v>836</v>
      </c>
      <c r="AD192" s="52"/>
      <c r="AE192" s="52" t="s">
        <v>147</v>
      </c>
      <c r="AF192" s="56" t="s">
        <v>1397</v>
      </c>
      <c r="AG192" s="49" t="s">
        <v>1393</v>
      </c>
      <c r="AH192" s="56" t="s">
        <v>837</v>
      </c>
      <c r="AJ192" s="32"/>
    </row>
    <row r="193" spans="1:36" s="17" customFormat="1" ht="14" customHeight="1" x14ac:dyDescent="0.2">
      <c r="A193" s="56" t="s">
        <v>839</v>
      </c>
      <c r="B193" s="54">
        <v>249.88</v>
      </c>
      <c r="C193" s="54">
        <v>251.9</v>
      </c>
      <c r="D193" s="55">
        <f>(B193+C193)/2</f>
        <v>250.89</v>
      </c>
      <c r="E193" s="52">
        <v>51.9</v>
      </c>
      <c r="F193" s="54">
        <v>11</v>
      </c>
      <c r="G193" s="58">
        <v>8</v>
      </c>
      <c r="H193" s="54">
        <v>16.399999999999999</v>
      </c>
      <c r="I193" s="54">
        <v>27.5</v>
      </c>
      <c r="J193" s="54">
        <v>333.9</v>
      </c>
      <c r="K193" s="54">
        <v>3.3</v>
      </c>
      <c r="L193" s="55">
        <v>-50.6</v>
      </c>
      <c r="M193" s="58">
        <v>345.6</v>
      </c>
      <c r="N193" s="52"/>
      <c r="O193" s="52"/>
      <c r="P193" s="54">
        <v>611.55518216125392</v>
      </c>
      <c r="Q193" s="54">
        <v>2.2417381127941889</v>
      </c>
      <c r="R193" s="52">
        <v>301</v>
      </c>
      <c r="S193" s="55">
        <v>-34.869937718646497</v>
      </c>
      <c r="T193" s="55">
        <v>65.174343504590993</v>
      </c>
      <c r="U193" s="54">
        <v>46.041178267360799</v>
      </c>
      <c r="V193" s="54">
        <v>3.8904489598693401</v>
      </c>
      <c r="W193" s="54">
        <v>58.1952919941834</v>
      </c>
      <c r="X193" s="52" t="s">
        <v>1204</v>
      </c>
      <c r="Y193" s="56"/>
      <c r="Z193" s="56"/>
      <c r="AA193" s="52" t="b">
        <v>0</v>
      </c>
      <c r="AB193" s="52" t="s">
        <v>165</v>
      </c>
      <c r="AC193" s="49" t="s">
        <v>840</v>
      </c>
      <c r="AD193" s="52"/>
      <c r="AE193" s="52" t="s">
        <v>147</v>
      </c>
      <c r="AF193" s="56" t="s">
        <v>841</v>
      </c>
      <c r="AG193" s="49" t="s">
        <v>1394</v>
      </c>
      <c r="AH193" s="56"/>
      <c r="AJ193" s="32"/>
    </row>
    <row r="194" spans="1:36" s="12" customFormat="1" ht="14" customHeight="1" x14ac:dyDescent="0.2">
      <c r="A194" s="56" t="s">
        <v>845</v>
      </c>
      <c r="B194" s="52"/>
      <c r="C194" s="52"/>
      <c r="D194" s="55">
        <v>251</v>
      </c>
      <c r="E194" s="52"/>
      <c r="F194" s="52"/>
      <c r="G194" s="58"/>
      <c r="H194" s="52"/>
      <c r="I194" s="52"/>
      <c r="J194" s="52"/>
      <c r="K194" s="54">
        <v>5</v>
      </c>
      <c r="L194" s="55">
        <v>-54.3</v>
      </c>
      <c r="M194" s="55">
        <v>323</v>
      </c>
      <c r="N194" s="54"/>
      <c r="O194" s="54"/>
      <c r="P194" s="54"/>
      <c r="Q194" s="54"/>
      <c r="R194" s="52">
        <v>301</v>
      </c>
      <c r="S194" s="55">
        <v>-48.426496368298501</v>
      </c>
      <c r="T194" s="55">
        <v>59.502238711893298</v>
      </c>
      <c r="U194" s="54">
        <v>46.041178267360799</v>
      </c>
      <c r="V194" s="54">
        <v>3.8904489598693401</v>
      </c>
      <c r="W194" s="54">
        <v>58.1952919941834</v>
      </c>
      <c r="X194" s="52" t="s">
        <v>217</v>
      </c>
      <c r="Y194" s="56"/>
      <c r="Z194" s="56"/>
      <c r="AA194" s="52" t="b">
        <v>0</v>
      </c>
      <c r="AB194" s="52" t="s">
        <v>31</v>
      </c>
      <c r="AC194" s="49" t="s">
        <v>834</v>
      </c>
      <c r="AD194" s="52"/>
      <c r="AE194" s="52" t="s">
        <v>147</v>
      </c>
      <c r="AF194" s="56"/>
      <c r="AG194" s="49"/>
      <c r="AH194" s="56" t="s">
        <v>1419</v>
      </c>
      <c r="AJ194" s="32"/>
    </row>
    <row r="195" spans="1:36" s="17" customFormat="1" ht="14" customHeight="1" x14ac:dyDescent="0.2">
      <c r="A195" s="56" t="s">
        <v>844</v>
      </c>
      <c r="B195" s="52"/>
      <c r="C195" s="52"/>
      <c r="D195" s="55">
        <v>251</v>
      </c>
      <c r="E195" s="52"/>
      <c r="F195" s="52"/>
      <c r="G195" s="58"/>
      <c r="H195" s="52"/>
      <c r="I195" s="52"/>
      <c r="J195" s="52"/>
      <c r="K195" s="54">
        <v>5.3</v>
      </c>
      <c r="L195" s="55">
        <v>-53.3</v>
      </c>
      <c r="M195" s="55">
        <v>330.2</v>
      </c>
      <c r="N195" s="54"/>
      <c r="O195" s="54"/>
      <c r="P195" s="54"/>
      <c r="Q195" s="54"/>
      <c r="R195" s="52">
        <v>301</v>
      </c>
      <c r="S195" s="55">
        <v>-44.194808790607198</v>
      </c>
      <c r="T195" s="55">
        <v>61.060903130656598</v>
      </c>
      <c r="U195" s="54">
        <v>46.041178267360799</v>
      </c>
      <c r="V195" s="54">
        <v>3.8904489598693401</v>
      </c>
      <c r="W195" s="54">
        <v>58.1952919941834</v>
      </c>
      <c r="X195" s="52" t="s">
        <v>1202</v>
      </c>
      <c r="Y195" s="56"/>
      <c r="Z195" s="56"/>
      <c r="AA195" s="52" t="b">
        <v>0</v>
      </c>
      <c r="AB195" s="52" t="s">
        <v>31</v>
      </c>
      <c r="AC195" s="49" t="s">
        <v>834</v>
      </c>
      <c r="AD195" s="52"/>
      <c r="AE195" s="52" t="s">
        <v>147</v>
      </c>
      <c r="AF195" s="56"/>
      <c r="AG195" s="49"/>
      <c r="AH195" s="56" t="s">
        <v>1419</v>
      </c>
      <c r="AJ195" s="32"/>
    </row>
    <row r="196" spans="1:36" s="17" customFormat="1" ht="14" customHeight="1" x14ac:dyDescent="0.2">
      <c r="A196" s="49" t="s">
        <v>842</v>
      </c>
      <c r="B196" s="52"/>
      <c r="C196" s="52"/>
      <c r="D196" s="55">
        <v>251</v>
      </c>
      <c r="E196" s="52"/>
      <c r="F196" s="52"/>
      <c r="G196" s="58"/>
      <c r="H196" s="52"/>
      <c r="I196" s="52"/>
      <c r="J196" s="52"/>
      <c r="K196" s="54">
        <v>2.1</v>
      </c>
      <c r="L196" s="55">
        <v>-56.4</v>
      </c>
      <c r="M196" s="58">
        <v>321.7</v>
      </c>
      <c r="N196" s="52"/>
      <c r="O196" s="52"/>
      <c r="P196" s="54"/>
      <c r="Q196" s="54"/>
      <c r="R196" s="52">
        <v>301</v>
      </c>
      <c r="S196" s="55">
        <v>-49.946982089000301</v>
      </c>
      <c r="T196" s="55">
        <v>61.990540581833699</v>
      </c>
      <c r="U196" s="54">
        <v>46.041178267360799</v>
      </c>
      <c r="V196" s="54">
        <v>3.8904489598693401</v>
      </c>
      <c r="W196" s="54">
        <v>58.1952919941834</v>
      </c>
      <c r="X196" s="52" t="s">
        <v>1202</v>
      </c>
      <c r="Y196" s="56"/>
      <c r="Z196" s="56"/>
      <c r="AA196" s="52" t="b">
        <v>0</v>
      </c>
      <c r="AB196" s="52" t="s">
        <v>31</v>
      </c>
      <c r="AC196" s="49" t="s">
        <v>843</v>
      </c>
      <c r="AD196" s="52"/>
      <c r="AE196" s="52" t="s">
        <v>147</v>
      </c>
      <c r="AF196" s="56"/>
      <c r="AG196" s="49"/>
      <c r="AH196" s="56" t="s">
        <v>1388</v>
      </c>
      <c r="AJ196" s="32"/>
    </row>
    <row r="197" spans="1:36" s="12" customFormat="1" ht="14" customHeight="1" x14ac:dyDescent="0.2">
      <c r="A197" s="14" t="s">
        <v>851</v>
      </c>
      <c r="B197" s="7">
        <v>250.4</v>
      </c>
      <c r="C197" s="7">
        <v>252.4</v>
      </c>
      <c r="D197" s="13">
        <v>251.39999999999998</v>
      </c>
      <c r="E197" s="9">
        <v>64</v>
      </c>
      <c r="F197" s="9">
        <v>115</v>
      </c>
      <c r="G197" s="34">
        <v>9</v>
      </c>
      <c r="H197" s="9">
        <v>252.2</v>
      </c>
      <c r="I197" s="9">
        <v>-84.4</v>
      </c>
      <c r="J197" s="9">
        <v>138.69999999999999</v>
      </c>
      <c r="K197" s="9">
        <v>4.4000000000000004</v>
      </c>
      <c r="L197" s="13">
        <v>-65.2</v>
      </c>
      <c r="M197" s="13">
        <v>320.89999999999998</v>
      </c>
      <c r="N197" s="9"/>
      <c r="O197" s="9"/>
      <c r="P197" s="9">
        <v>36.175003912173182</v>
      </c>
      <c r="Q197" s="9">
        <v>8.6757167457126858</v>
      </c>
      <c r="R197" s="7">
        <v>301</v>
      </c>
      <c r="S197" s="13">
        <v>-52.855445200227997</v>
      </c>
      <c r="T197" s="13">
        <v>75.344578052542701</v>
      </c>
      <c r="U197" s="9">
        <v>46.041178267360799</v>
      </c>
      <c r="V197" s="9">
        <v>3.8904489598693401</v>
      </c>
      <c r="W197" s="9">
        <v>58.1952919941834</v>
      </c>
      <c r="X197" s="7" t="s">
        <v>1202</v>
      </c>
      <c r="Y197" s="7"/>
      <c r="Z197" s="7"/>
      <c r="AA197" s="7" t="b">
        <v>1</v>
      </c>
      <c r="AB197" s="7">
        <v>0</v>
      </c>
      <c r="AC197" s="14" t="s">
        <v>1205</v>
      </c>
      <c r="AD197" s="7"/>
      <c r="AE197" s="7" t="s">
        <v>1369</v>
      </c>
      <c r="AF197" s="10" t="s">
        <v>1226</v>
      </c>
      <c r="AG197" s="14" t="s">
        <v>1236</v>
      </c>
      <c r="AH197" s="10"/>
      <c r="AJ197" s="32"/>
    </row>
    <row r="198" spans="1:36" s="12" customFormat="1" ht="14" customHeight="1" x14ac:dyDescent="0.2">
      <c r="A198" s="10" t="s">
        <v>854</v>
      </c>
      <c r="B198" s="7">
        <v>250.4</v>
      </c>
      <c r="C198" s="7">
        <v>252.4</v>
      </c>
      <c r="D198" s="13">
        <v>251.39999999999998</v>
      </c>
      <c r="E198" s="9">
        <v>56.8</v>
      </c>
      <c r="F198" s="9">
        <v>99.4</v>
      </c>
      <c r="G198" s="34">
        <v>9</v>
      </c>
      <c r="H198" s="9">
        <v>269.10000000000002</v>
      </c>
      <c r="I198" s="9">
        <v>-71.8</v>
      </c>
      <c r="J198" s="9">
        <v>40</v>
      </c>
      <c r="K198" s="9">
        <v>8.1999999999999993</v>
      </c>
      <c r="L198" s="13">
        <v>-44.5</v>
      </c>
      <c r="M198" s="6">
        <v>329.1</v>
      </c>
      <c r="N198" s="9">
        <v>14.9</v>
      </c>
      <c r="O198" s="9">
        <v>13.8</v>
      </c>
      <c r="P198" s="9" t="s">
        <v>1203</v>
      </c>
      <c r="Q198" s="9" t="s">
        <v>1203</v>
      </c>
      <c r="R198" s="7">
        <v>301</v>
      </c>
      <c r="S198" s="13">
        <v>-40.002343570333501</v>
      </c>
      <c r="T198" s="13">
        <v>50.573723888220599</v>
      </c>
      <c r="U198" s="9">
        <v>46.041178267360799</v>
      </c>
      <c r="V198" s="9">
        <v>3.8904489598693401</v>
      </c>
      <c r="W198" s="9">
        <v>58.1952919941834</v>
      </c>
      <c r="X198" s="7" t="s">
        <v>1202</v>
      </c>
      <c r="Y198" s="7"/>
      <c r="Z198" s="7"/>
      <c r="AA198" s="7" t="b">
        <v>1</v>
      </c>
      <c r="AB198" s="7">
        <v>0</v>
      </c>
      <c r="AC198" s="10" t="s">
        <v>853</v>
      </c>
      <c r="AD198" s="7"/>
      <c r="AE198" s="7" t="s">
        <v>1369</v>
      </c>
      <c r="AF198" s="10" t="s">
        <v>1226</v>
      </c>
      <c r="AG198" s="14"/>
      <c r="AH198" s="10"/>
      <c r="AJ198" s="32"/>
    </row>
    <row r="199" spans="1:36" s="12" customFormat="1" ht="14" customHeight="1" x14ac:dyDescent="0.2">
      <c r="A199" s="10" t="s">
        <v>855</v>
      </c>
      <c r="B199" s="7">
        <v>250.4</v>
      </c>
      <c r="C199" s="7">
        <v>252.4</v>
      </c>
      <c r="D199" s="13">
        <v>251.39999999999998</v>
      </c>
      <c r="E199" s="9">
        <v>56.8</v>
      </c>
      <c r="F199" s="9">
        <v>99.4</v>
      </c>
      <c r="G199" s="34">
        <v>12</v>
      </c>
      <c r="H199" s="9">
        <v>122.6</v>
      </c>
      <c r="I199" s="9">
        <v>75.8</v>
      </c>
      <c r="J199" s="9">
        <v>32</v>
      </c>
      <c r="K199" s="9">
        <v>7.8</v>
      </c>
      <c r="L199" s="13">
        <v>-45.5</v>
      </c>
      <c r="M199" s="13">
        <v>312.8</v>
      </c>
      <c r="N199" s="9">
        <v>11.5</v>
      </c>
      <c r="O199" s="9">
        <v>13.4</v>
      </c>
      <c r="P199" s="43" t="s">
        <v>1203</v>
      </c>
      <c r="Q199" s="43" t="s">
        <v>1203</v>
      </c>
      <c r="R199" s="7">
        <v>301</v>
      </c>
      <c r="S199" s="13">
        <v>-50.210956102812602</v>
      </c>
      <c r="T199" s="13">
        <v>42.877796781918001</v>
      </c>
      <c r="U199" s="9">
        <v>46.041178267360799</v>
      </c>
      <c r="V199" s="9">
        <v>3.8904489598693401</v>
      </c>
      <c r="W199" s="9">
        <v>58.1952919941834</v>
      </c>
      <c r="X199" s="7" t="s">
        <v>1202</v>
      </c>
      <c r="Y199" s="7"/>
      <c r="Z199" s="7"/>
      <c r="AA199" s="7" t="b">
        <v>1</v>
      </c>
      <c r="AB199" s="7">
        <v>0</v>
      </c>
      <c r="AC199" s="10" t="s">
        <v>853</v>
      </c>
      <c r="AD199" s="7"/>
      <c r="AE199" s="7" t="s">
        <v>1369</v>
      </c>
      <c r="AF199" s="10" t="s">
        <v>1226</v>
      </c>
      <c r="AG199" s="14"/>
      <c r="AH199" s="10"/>
      <c r="AJ199" s="32"/>
    </row>
    <row r="200" spans="1:36" s="12" customFormat="1" ht="14" customHeight="1" x14ac:dyDescent="0.2">
      <c r="A200" s="14" t="s">
        <v>850</v>
      </c>
      <c r="B200" s="7">
        <v>250.4</v>
      </c>
      <c r="C200" s="7">
        <v>252.4</v>
      </c>
      <c r="D200" s="13">
        <v>251.39999999999998</v>
      </c>
      <c r="E200" s="9">
        <v>63.5</v>
      </c>
      <c r="F200" s="9">
        <v>112.5</v>
      </c>
      <c r="G200" s="34">
        <v>19</v>
      </c>
      <c r="H200" s="9">
        <v>124.3</v>
      </c>
      <c r="I200" s="9">
        <v>82.3</v>
      </c>
      <c r="J200" s="9">
        <v>57</v>
      </c>
      <c r="K200" s="9">
        <v>4.5</v>
      </c>
      <c r="L200" s="13">
        <v>-53</v>
      </c>
      <c r="M200" s="13">
        <v>313.5</v>
      </c>
      <c r="N200" s="9"/>
      <c r="O200" s="9"/>
      <c r="P200" s="9">
        <v>15.421857627322549</v>
      </c>
      <c r="Q200" s="9">
        <v>8.8300058360754807</v>
      </c>
      <c r="R200" s="7">
        <v>301</v>
      </c>
      <c r="S200" s="13">
        <v>-53.078898508340501</v>
      </c>
      <c r="T200" s="13">
        <v>54.087477242147799</v>
      </c>
      <c r="U200" s="9">
        <v>46.041178267360799</v>
      </c>
      <c r="V200" s="9">
        <v>3.8904489598693401</v>
      </c>
      <c r="W200" s="9">
        <v>58.1952919941834</v>
      </c>
      <c r="X200" s="7" t="s">
        <v>1202</v>
      </c>
      <c r="Y200" s="7"/>
      <c r="Z200" s="7"/>
      <c r="AA200" s="7" t="b">
        <v>1</v>
      </c>
      <c r="AB200" s="7">
        <v>0</v>
      </c>
      <c r="AC200" s="14" t="s">
        <v>1205</v>
      </c>
      <c r="AD200" s="7"/>
      <c r="AE200" s="7" t="s">
        <v>1369</v>
      </c>
      <c r="AF200" s="10" t="s">
        <v>1226</v>
      </c>
      <c r="AG200" s="14" t="s">
        <v>1236</v>
      </c>
      <c r="AH200" s="10"/>
      <c r="AJ200" s="32"/>
    </row>
    <row r="201" spans="1:36" s="17" customFormat="1" ht="14" customHeight="1" x14ac:dyDescent="0.2">
      <c r="A201" s="14" t="s">
        <v>848</v>
      </c>
      <c r="B201" s="7">
        <v>250.4</v>
      </c>
      <c r="C201" s="7">
        <v>252.4</v>
      </c>
      <c r="D201" s="13">
        <v>251.39999999999998</v>
      </c>
      <c r="E201" s="9">
        <v>68.900000000000006</v>
      </c>
      <c r="F201" s="9">
        <v>86.4</v>
      </c>
      <c r="G201" s="34">
        <v>33</v>
      </c>
      <c r="H201" s="9"/>
      <c r="I201" s="9"/>
      <c r="J201" s="9"/>
      <c r="K201" s="9"/>
      <c r="L201" s="13">
        <v>-47.4</v>
      </c>
      <c r="M201" s="13">
        <v>323.10000000000002</v>
      </c>
      <c r="N201" s="9">
        <v>13.4</v>
      </c>
      <c r="O201" s="9">
        <v>7.1</v>
      </c>
      <c r="P201" s="9" t="s">
        <v>1203</v>
      </c>
      <c r="Q201" s="9" t="s">
        <v>1203</v>
      </c>
      <c r="R201" s="7">
        <v>301</v>
      </c>
      <c r="S201" s="13">
        <v>-45.080012297995403</v>
      </c>
      <c r="T201" s="13">
        <v>50.684463905200403</v>
      </c>
      <c r="U201" s="9">
        <v>46.041178267360799</v>
      </c>
      <c r="V201" s="9">
        <v>3.8904489598693401</v>
      </c>
      <c r="W201" s="9">
        <v>58.1952919941834</v>
      </c>
      <c r="X201" s="7" t="s">
        <v>1202</v>
      </c>
      <c r="Y201" s="10"/>
      <c r="Z201" s="10"/>
      <c r="AA201" s="7" t="b">
        <v>1</v>
      </c>
      <c r="AB201" s="7">
        <v>0</v>
      </c>
      <c r="AC201" s="14" t="s">
        <v>849</v>
      </c>
      <c r="AD201" s="7"/>
      <c r="AE201" s="7" t="s">
        <v>1369</v>
      </c>
      <c r="AF201" s="10" t="s">
        <v>1226</v>
      </c>
      <c r="AG201" s="14" t="s">
        <v>1235</v>
      </c>
      <c r="AH201" s="10"/>
      <c r="AJ201" s="32"/>
    </row>
    <row r="202" spans="1:36" s="17" customFormat="1" ht="14" customHeight="1" x14ac:dyDescent="0.2">
      <c r="A202" s="10" t="s">
        <v>852</v>
      </c>
      <c r="B202" s="7">
        <v>250.4</v>
      </c>
      <c r="C202" s="7">
        <v>252.4</v>
      </c>
      <c r="D202" s="13">
        <v>251.39999999999998</v>
      </c>
      <c r="E202" s="9">
        <v>64.599999999999994</v>
      </c>
      <c r="F202" s="9">
        <v>94.4</v>
      </c>
      <c r="G202" s="6">
        <v>35</v>
      </c>
      <c r="H202" s="7">
        <v>95.6</v>
      </c>
      <c r="I202" s="7">
        <v>79.099999999999994</v>
      </c>
      <c r="J202" s="7">
        <v>76.7</v>
      </c>
      <c r="K202" s="7">
        <v>2.8</v>
      </c>
      <c r="L202" s="6">
        <v>-56.2</v>
      </c>
      <c r="M202" s="6">
        <v>313.60000000000002</v>
      </c>
      <c r="N202" s="9">
        <v>24.5</v>
      </c>
      <c r="O202" s="9">
        <v>5</v>
      </c>
      <c r="P202" s="9" t="s">
        <v>1203</v>
      </c>
      <c r="Q202" s="9" t="s">
        <v>1203</v>
      </c>
      <c r="R202" s="7">
        <v>301</v>
      </c>
      <c r="S202" s="13">
        <v>-54.102695745177897</v>
      </c>
      <c r="T202" s="13">
        <v>59.197881907109497</v>
      </c>
      <c r="U202" s="9">
        <v>46.041178267360799</v>
      </c>
      <c r="V202" s="9">
        <v>3.8904489598693401</v>
      </c>
      <c r="W202" s="9">
        <v>58.1952919941834</v>
      </c>
      <c r="X202" s="7" t="s">
        <v>1202</v>
      </c>
      <c r="Y202" s="7"/>
      <c r="Z202" s="7"/>
      <c r="AA202" s="7" t="b">
        <v>1</v>
      </c>
      <c r="AB202" s="7">
        <v>0</v>
      </c>
      <c r="AC202" s="10" t="s">
        <v>853</v>
      </c>
      <c r="AD202" s="7"/>
      <c r="AE202" s="7" t="s">
        <v>1369</v>
      </c>
      <c r="AF202" s="10" t="s">
        <v>1226</v>
      </c>
      <c r="AG202" s="14"/>
      <c r="AH202" s="10"/>
      <c r="AJ202" s="32"/>
    </row>
    <row r="203" spans="1:36" s="12" customFormat="1" ht="14" customHeight="1" x14ac:dyDescent="0.2">
      <c r="A203" s="10" t="s">
        <v>856</v>
      </c>
      <c r="B203" s="7">
        <v>250.4</v>
      </c>
      <c r="C203" s="7">
        <v>252.4</v>
      </c>
      <c r="D203" s="13">
        <v>251.39999999999998</v>
      </c>
      <c r="E203" s="9">
        <v>70</v>
      </c>
      <c r="F203" s="9">
        <v>90</v>
      </c>
      <c r="G203" s="6">
        <v>49</v>
      </c>
      <c r="H203" s="7"/>
      <c r="I203" s="7"/>
      <c r="J203" s="7"/>
      <c r="K203" s="7"/>
      <c r="L203" s="13">
        <v>-52.9</v>
      </c>
      <c r="M203" s="6">
        <v>327.10000000000002</v>
      </c>
      <c r="N203" s="7">
        <v>23.2</v>
      </c>
      <c r="O203" s="7">
        <v>4.3</v>
      </c>
      <c r="P203" s="43" t="s">
        <v>1203</v>
      </c>
      <c r="Q203" s="43" t="s">
        <v>1203</v>
      </c>
      <c r="R203" s="7">
        <v>301</v>
      </c>
      <c r="S203" s="13">
        <v>-45.623974118001598</v>
      </c>
      <c r="T203" s="13">
        <v>59.285117381663198</v>
      </c>
      <c r="U203" s="9">
        <v>46.041178267360799</v>
      </c>
      <c r="V203" s="9">
        <v>3.8904489598693401</v>
      </c>
      <c r="W203" s="9">
        <v>58.1952919941834</v>
      </c>
      <c r="X203" s="7" t="s">
        <v>1202</v>
      </c>
      <c r="Y203" s="7"/>
      <c r="Z203" s="7"/>
      <c r="AA203" s="7" t="b">
        <v>1</v>
      </c>
      <c r="AB203" s="7">
        <v>0</v>
      </c>
      <c r="AC203" s="14" t="s">
        <v>857</v>
      </c>
      <c r="AD203" s="7"/>
      <c r="AE203" s="7" t="s">
        <v>1369</v>
      </c>
      <c r="AF203" s="10" t="s">
        <v>1226</v>
      </c>
      <c r="AG203" s="14"/>
      <c r="AH203" s="10"/>
      <c r="AJ203" s="32"/>
    </row>
    <row r="204" spans="1:36" s="17" customFormat="1" ht="14" customHeight="1" x14ac:dyDescent="0.2">
      <c r="A204" s="14" t="s">
        <v>858</v>
      </c>
      <c r="B204" s="9">
        <v>251.3</v>
      </c>
      <c r="C204" s="9">
        <v>252.3</v>
      </c>
      <c r="D204" s="13">
        <v>251.8</v>
      </c>
      <c r="E204" s="9">
        <v>69.3</v>
      </c>
      <c r="F204" s="9">
        <v>88.5</v>
      </c>
      <c r="G204" s="34">
        <v>31</v>
      </c>
      <c r="H204" s="9"/>
      <c r="I204" s="9"/>
      <c r="J204" s="9"/>
      <c r="K204" s="9"/>
      <c r="L204" s="13">
        <v>-54.5</v>
      </c>
      <c r="M204" s="13">
        <v>320.8</v>
      </c>
      <c r="N204" s="9">
        <v>24.7</v>
      </c>
      <c r="O204" s="9">
        <v>5.3</v>
      </c>
      <c r="P204" s="9" t="s">
        <v>1203</v>
      </c>
      <c r="Q204" s="9" t="s">
        <v>1203</v>
      </c>
      <c r="R204" s="7">
        <v>301</v>
      </c>
      <c r="S204" s="13">
        <v>-49.674998587863797</v>
      </c>
      <c r="T204" s="13">
        <v>58.9709615576677</v>
      </c>
      <c r="U204" s="9">
        <v>46.041178267360799</v>
      </c>
      <c r="V204" s="9">
        <v>3.8904489598693401</v>
      </c>
      <c r="W204" s="9">
        <v>58.1952919941834</v>
      </c>
      <c r="X204" s="7" t="s">
        <v>1202</v>
      </c>
      <c r="Y204" s="10"/>
      <c r="Z204" s="10"/>
      <c r="AA204" s="7" t="b">
        <v>1</v>
      </c>
      <c r="AB204" s="7">
        <v>0</v>
      </c>
      <c r="AC204" s="14" t="s">
        <v>859</v>
      </c>
      <c r="AD204" s="7"/>
      <c r="AE204" s="7" t="s">
        <v>1369</v>
      </c>
      <c r="AF204" s="10" t="s">
        <v>1225</v>
      </c>
      <c r="AG204" s="14" t="s">
        <v>860</v>
      </c>
      <c r="AH204" s="10"/>
      <c r="AJ204" s="32"/>
    </row>
    <row r="205" spans="1:36" s="12" customFormat="1" ht="14" customHeight="1" x14ac:dyDescent="0.2">
      <c r="A205" s="10" t="s">
        <v>873</v>
      </c>
      <c r="B205" s="7">
        <v>246.7</v>
      </c>
      <c r="C205" s="7">
        <v>259.5</v>
      </c>
      <c r="D205" s="13">
        <v>253.1</v>
      </c>
      <c r="E205" s="9">
        <v>56.188000000000002</v>
      </c>
      <c r="F205" s="9">
        <v>42.649000000000001</v>
      </c>
      <c r="G205" s="34">
        <v>106</v>
      </c>
      <c r="H205" s="9">
        <v>32.799999999999997</v>
      </c>
      <c r="I205" s="9">
        <v>43.4</v>
      </c>
      <c r="J205" s="7">
        <v>17.899999999999999</v>
      </c>
      <c r="K205" s="7">
        <v>3.3</v>
      </c>
      <c r="L205" s="13">
        <v>-53.2</v>
      </c>
      <c r="M205" s="13">
        <v>349.5</v>
      </c>
      <c r="N205" s="7">
        <v>17.3</v>
      </c>
      <c r="O205" s="7">
        <v>3.4</v>
      </c>
      <c r="P205" s="9" t="s">
        <v>1203</v>
      </c>
      <c r="Q205" s="9" t="s">
        <v>1203</v>
      </c>
      <c r="R205" s="7">
        <v>301</v>
      </c>
      <c r="S205" s="13">
        <v>-34.676797498729201</v>
      </c>
      <c r="T205" s="13">
        <v>69.479986206955303</v>
      </c>
      <c r="U205" s="9">
        <v>46.041178267360799</v>
      </c>
      <c r="V205" s="9">
        <v>3.8904489598693401</v>
      </c>
      <c r="W205" s="9">
        <v>58.1952919941834</v>
      </c>
      <c r="X205" s="7" t="s">
        <v>1204</v>
      </c>
      <c r="Y205" s="7">
        <v>0.9</v>
      </c>
      <c r="Z205" s="9">
        <v>3</v>
      </c>
      <c r="AA205" s="7" t="s">
        <v>148</v>
      </c>
      <c r="AB205" s="7">
        <v>0</v>
      </c>
      <c r="AC205" s="14" t="s">
        <v>871</v>
      </c>
      <c r="AD205" s="7"/>
      <c r="AE205" s="7" t="s">
        <v>1369</v>
      </c>
      <c r="AF205" s="10" t="s">
        <v>872</v>
      </c>
      <c r="AG205" s="14" t="s">
        <v>1238</v>
      </c>
      <c r="AH205" s="10"/>
      <c r="AJ205" s="32"/>
    </row>
    <row r="206" spans="1:36" s="12" customFormat="1" ht="14" customHeight="1" x14ac:dyDescent="0.2">
      <c r="A206" s="10" t="s">
        <v>870</v>
      </c>
      <c r="B206" s="7">
        <v>246.7</v>
      </c>
      <c r="C206" s="7">
        <v>259.5</v>
      </c>
      <c r="D206" s="13">
        <v>253.1</v>
      </c>
      <c r="E206" s="9">
        <v>56.994199999999999</v>
      </c>
      <c r="F206" s="9">
        <v>43.158099999999997</v>
      </c>
      <c r="G206" s="34">
        <v>157</v>
      </c>
      <c r="H206" s="9">
        <v>55.7</v>
      </c>
      <c r="I206" s="9">
        <v>42.8</v>
      </c>
      <c r="J206" s="7">
        <v>19.7</v>
      </c>
      <c r="K206" s="7">
        <v>2.6</v>
      </c>
      <c r="L206" s="13">
        <v>-41</v>
      </c>
      <c r="M206" s="13">
        <v>326.3</v>
      </c>
      <c r="N206" s="7">
        <v>19.7</v>
      </c>
      <c r="O206" s="7">
        <v>2.6</v>
      </c>
      <c r="P206" s="9" t="s">
        <v>1203</v>
      </c>
      <c r="Q206" s="9" t="s">
        <v>1203</v>
      </c>
      <c r="R206" s="7">
        <v>301</v>
      </c>
      <c r="S206" s="13">
        <v>-39.553759656760903</v>
      </c>
      <c r="T206" s="13">
        <v>45.324245759743498</v>
      </c>
      <c r="U206" s="9">
        <v>46.041178267360799</v>
      </c>
      <c r="V206" s="9">
        <v>3.8904489598693401</v>
      </c>
      <c r="W206" s="9">
        <v>58.1952919941834</v>
      </c>
      <c r="X206" s="7" t="s">
        <v>1204</v>
      </c>
      <c r="Y206" s="7">
        <v>0.9</v>
      </c>
      <c r="Z206" s="9">
        <v>3</v>
      </c>
      <c r="AA206" s="7" t="s">
        <v>148</v>
      </c>
      <c r="AB206" s="7">
        <v>0</v>
      </c>
      <c r="AC206" s="14" t="s">
        <v>871</v>
      </c>
      <c r="AD206" s="7"/>
      <c r="AE206" s="7" t="s">
        <v>1369</v>
      </c>
      <c r="AF206" s="10" t="s">
        <v>872</v>
      </c>
      <c r="AG206" s="14" t="s">
        <v>1238</v>
      </c>
      <c r="AH206" s="10"/>
      <c r="AJ206" s="32"/>
    </row>
    <row r="207" spans="1:36" s="12" customFormat="1" ht="14" customHeight="1" x14ac:dyDescent="0.2">
      <c r="A207" s="10" t="s">
        <v>874</v>
      </c>
      <c r="B207" s="7">
        <v>246.7</v>
      </c>
      <c r="C207" s="7">
        <v>259.5</v>
      </c>
      <c r="D207" s="13">
        <v>253.1</v>
      </c>
      <c r="E207" s="9">
        <v>56.2</v>
      </c>
      <c r="F207" s="9">
        <v>44</v>
      </c>
      <c r="G207" s="34">
        <v>108</v>
      </c>
      <c r="H207" s="9">
        <v>42.9</v>
      </c>
      <c r="I207" s="9">
        <v>36.4</v>
      </c>
      <c r="J207" s="9">
        <v>15.2</v>
      </c>
      <c r="K207" s="9">
        <v>3.6</v>
      </c>
      <c r="L207" s="13">
        <v>-59.6</v>
      </c>
      <c r="M207" s="13">
        <v>322.10000000000002</v>
      </c>
      <c r="N207" s="9">
        <v>8.6999999999999993</v>
      </c>
      <c r="O207" s="9">
        <v>4.9000000000000004</v>
      </c>
      <c r="P207" s="9" t="s">
        <v>1203</v>
      </c>
      <c r="Q207" s="9" t="s">
        <v>1203</v>
      </c>
      <c r="R207" s="7">
        <v>301</v>
      </c>
      <c r="S207" s="13">
        <v>-50.870376624724699</v>
      </c>
      <c r="T207" s="13">
        <v>66.810666362886394</v>
      </c>
      <c r="U207" s="9">
        <v>46.041178267360799</v>
      </c>
      <c r="V207" s="9">
        <v>3.8904489598693401</v>
      </c>
      <c r="W207" s="9">
        <v>58.1952919941834</v>
      </c>
      <c r="X207" s="7" t="s">
        <v>1204</v>
      </c>
      <c r="Y207" s="7">
        <v>0.4</v>
      </c>
      <c r="Z207" s="9">
        <v>3</v>
      </c>
      <c r="AA207" s="7" t="s">
        <v>152</v>
      </c>
      <c r="AB207" s="7">
        <v>0</v>
      </c>
      <c r="AC207" s="14" t="s">
        <v>827</v>
      </c>
      <c r="AD207" s="7"/>
      <c r="AE207" s="7" t="s">
        <v>1369</v>
      </c>
      <c r="AF207" s="10" t="s">
        <v>872</v>
      </c>
      <c r="AG207" s="14"/>
      <c r="AH207" s="10"/>
      <c r="AJ207" s="32"/>
    </row>
    <row r="208" spans="1:36" s="12" customFormat="1" ht="14" customHeight="1" x14ac:dyDescent="0.2">
      <c r="A208" s="56" t="s">
        <v>875</v>
      </c>
      <c r="B208" s="52">
        <v>246.7</v>
      </c>
      <c r="C208" s="52">
        <v>259.5</v>
      </c>
      <c r="D208" s="55">
        <v>253.1</v>
      </c>
      <c r="E208" s="54">
        <v>50.953316999999998</v>
      </c>
      <c r="F208" s="54">
        <v>11.976383</v>
      </c>
      <c r="G208" s="53">
        <v>37</v>
      </c>
      <c r="H208" s="54">
        <v>24</v>
      </c>
      <c r="I208" s="54">
        <v>19.399999999999999</v>
      </c>
      <c r="J208" s="54">
        <v>11.7</v>
      </c>
      <c r="K208" s="54">
        <v>7.2</v>
      </c>
      <c r="L208" s="55">
        <v>-48.4</v>
      </c>
      <c r="M208" s="55">
        <v>335.4</v>
      </c>
      <c r="N208" s="54">
        <v>17.5</v>
      </c>
      <c r="O208" s="54">
        <v>5.8</v>
      </c>
      <c r="P208" s="54" t="s">
        <v>1203</v>
      </c>
      <c r="Q208" s="54" t="s">
        <v>1203</v>
      </c>
      <c r="R208" s="52">
        <v>301</v>
      </c>
      <c r="S208" s="55">
        <v>-38.777782863823603</v>
      </c>
      <c r="T208" s="55">
        <v>57.953838016519903</v>
      </c>
      <c r="U208" s="54">
        <v>46.041178267360799</v>
      </c>
      <c r="V208" s="54">
        <v>3.8904489598693401</v>
      </c>
      <c r="W208" s="54">
        <v>58.1952919941834</v>
      </c>
      <c r="X208" s="52" t="s">
        <v>1204</v>
      </c>
      <c r="Y208" s="52">
        <v>0.7</v>
      </c>
      <c r="Z208" s="52"/>
      <c r="AA208" s="52" t="s">
        <v>211</v>
      </c>
      <c r="AB208" s="52" t="s">
        <v>211</v>
      </c>
      <c r="AC208" s="49" t="s">
        <v>827</v>
      </c>
      <c r="AD208" s="52"/>
      <c r="AE208" s="52" t="s">
        <v>1369</v>
      </c>
      <c r="AF208" s="56" t="s">
        <v>876</v>
      </c>
      <c r="AG208" s="49"/>
      <c r="AH208" s="56"/>
      <c r="AJ208" s="32"/>
    </row>
    <row r="209" spans="1:36" s="17" customFormat="1" ht="14" customHeight="1" x14ac:dyDescent="0.2">
      <c r="A209" s="10" t="s">
        <v>892</v>
      </c>
      <c r="B209" s="9">
        <v>251.9</v>
      </c>
      <c r="C209" s="7">
        <v>259.5</v>
      </c>
      <c r="D209" s="13">
        <f>AVERAGE(B209,C209)</f>
        <v>255.7</v>
      </c>
      <c r="E209" s="9">
        <v>61</v>
      </c>
      <c r="F209" s="9">
        <v>45</v>
      </c>
      <c r="G209" s="34">
        <v>210</v>
      </c>
      <c r="H209" s="9">
        <v>40.299999999999997</v>
      </c>
      <c r="I209" s="9">
        <v>38.9</v>
      </c>
      <c r="J209" s="9">
        <v>16.8</v>
      </c>
      <c r="K209" s="9">
        <v>2.4</v>
      </c>
      <c r="L209" s="13">
        <v>-49.2</v>
      </c>
      <c r="M209" s="13">
        <v>345.9</v>
      </c>
      <c r="N209" s="7">
        <v>13.9</v>
      </c>
      <c r="O209" s="7">
        <v>2.7</v>
      </c>
      <c r="P209" s="9" t="s">
        <v>1203</v>
      </c>
      <c r="Q209" s="9" t="s">
        <v>1203</v>
      </c>
      <c r="R209" s="7">
        <v>301</v>
      </c>
      <c r="S209" s="13">
        <v>-33.825147115686903</v>
      </c>
      <c r="T209" s="13">
        <v>64.021597337242994</v>
      </c>
      <c r="U209" s="9">
        <v>46.041178267360799</v>
      </c>
      <c r="V209" s="9">
        <v>3.8904489598693401</v>
      </c>
      <c r="W209" s="9">
        <v>58.1952919941834</v>
      </c>
      <c r="X209" s="7" t="s">
        <v>1204</v>
      </c>
      <c r="Y209" s="7">
        <v>0.7</v>
      </c>
      <c r="Z209" s="9">
        <v>3</v>
      </c>
      <c r="AA209" s="7" t="s">
        <v>148</v>
      </c>
      <c r="AB209" s="7">
        <v>0</v>
      </c>
      <c r="AC209" s="14" t="s">
        <v>827</v>
      </c>
      <c r="AD209" s="7"/>
      <c r="AE209" s="7" t="s">
        <v>1369</v>
      </c>
      <c r="AF209" s="10" t="s">
        <v>879</v>
      </c>
      <c r="AG209" s="14"/>
      <c r="AH209" s="10"/>
      <c r="AJ209" s="32"/>
    </row>
    <row r="210" spans="1:36" s="12" customFormat="1" ht="14" customHeight="1" x14ac:dyDescent="0.2">
      <c r="A210" s="10" t="s">
        <v>891</v>
      </c>
      <c r="B210" s="9">
        <v>251.9</v>
      </c>
      <c r="C210" s="7">
        <v>259.5</v>
      </c>
      <c r="D210" s="13">
        <f>AVERAGE(B210,C210)</f>
        <v>255.7</v>
      </c>
      <c r="E210" s="9">
        <v>51.671733000000003</v>
      </c>
      <c r="F210" s="9">
        <v>11.743383</v>
      </c>
      <c r="G210" s="34">
        <v>82</v>
      </c>
      <c r="H210" s="9">
        <v>16.899999999999999</v>
      </c>
      <c r="I210" s="9">
        <v>29.2</v>
      </c>
      <c r="J210" s="9">
        <v>30.2</v>
      </c>
      <c r="K210" s="9">
        <v>2.9</v>
      </c>
      <c r="L210" s="13">
        <v>-57.3</v>
      </c>
      <c r="M210" s="13">
        <v>341.7</v>
      </c>
      <c r="N210" s="7">
        <v>34.5</v>
      </c>
      <c r="O210" s="7">
        <v>2.7</v>
      </c>
      <c r="P210" s="9" t="s">
        <v>1203</v>
      </c>
      <c r="Q210" s="9" t="s">
        <v>1203</v>
      </c>
      <c r="R210" s="7">
        <v>301</v>
      </c>
      <c r="S210" s="13">
        <v>-40.683760520764899</v>
      </c>
      <c r="T210" s="13">
        <v>70.291531222350599</v>
      </c>
      <c r="U210" s="9">
        <v>46.041178267360799</v>
      </c>
      <c r="V210" s="9">
        <v>3.8904489598693401</v>
      </c>
      <c r="W210" s="9">
        <v>58.1952919941834</v>
      </c>
      <c r="X210" s="7" t="s">
        <v>1204</v>
      </c>
      <c r="Y210" s="7">
        <v>0.7</v>
      </c>
      <c r="Z210" s="9">
        <v>3</v>
      </c>
      <c r="AA210" s="7" t="s">
        <v>152</v>
      </c>
      <c r="AB210" s="7">
        <v>0</v>
      </c>
      <c r="AC210" s="14" t="s">
        <v>827</v>
      </c>
      <c r="AD210" s="7"/>
      <c r="AE210" s="7" t="s">
        <v>1369</v>
      </c>
      <c r="AF210" s="10" t="s">
        <v>879</v>
      </c>
      <c r="AG210" s="14"/>
      <c r="AH210" s="10"/>
      <c r="AJ210" s="32"/>
    </row>
    <row r="211" spans="1:36" s="17" customFormat="1" ht="14" customHeight="1" x14ac:dyDescent="0.2">
      <c r="A211" s="56" t="s">
        <v>889</v>
      </c>
      <c r="B211" s="52">
        <v>251.9</v>
      </c>
      <c r="C211" s="52">
        <v>259.5</v>
      </c>
      <c r="D211" s="58">
        <v>255.7</v>
      </c>
      <c r="E211" s="52">
        <v>43.5</v>
      </c>
      <c r="F211" s="52">
        <v>6.8</v>
      </c>
      <c r="G211" s="58">
        <v>3</v>
      </c>
      <c r="H211" s="54">
        <v>203.5</v>
      </c>
      <c r="I211" s="54">
        <v>-12</v>
      </c>
      <c r="J211" s="54">
        <v>543</v>
      </c>
      <c r="K211" s="54">
        <v>5</v>
      </c>
      <c r="L211" s="55">
        <v>-47</v>
      </c>
      <c r="M211" s="55">
        <v>331</v>
      </c>
      <c r="N211" s="52"/>
      <c r="O211" s="52"/>
      <c r="P211" s="54">
        <v>1279.4221013323574</v>
      </c>
      <c r="Q211" s="54">
        <v>3.4479594474000623</v>
      </c>
      <c r="R211" s="52">
        <v>301</v>
      </c>
      <c r="S211" s="55">
        <v>-40.377027786073299</v>
      </c>
      <c r="T211" s="55">
        <v>54.245449272506796</v>
      </c>
      <c r="U211" s="54">
        <v>46.041178267360799</v>
      </c>
      <c r="V211" s="54">
        <v>3.8904489598693401</v>
      </c>
      <c r="W211" s="54">
        <v>58.1952919941834</v>
      </c>
      <c r="X211" s="52" t="s">
        <v>1204</v>
      </c>
      <c r="Y211" s="56"/>
      <c r="Z211" s="56"/>
      <c r="AA211" s="52" t="b">
        <v>0</v>
      </c>
      <c r="AB211" s="52" t="s">
        <v>165</v>
      </c>
      <c r="AC211" s="49" t="s">
        <v>890</v>
      </c>
      <c r="AD211" s="52">
        <v>165</v>
      </c>
      <c r="AE211" s="52" t="s">
        <v>147</v>
      </c>
      <c r="AF211" s="56" t="s">
        <v>879</v>
      </c>
      <c r="AG211" s="49"/>
      <c r="AH211" s="56"/>
      <c r="AJ211" s="32"/>
    </row>
    <row r="212" spans="1:36" s="12" customFormat="1" ht="14" customHeight="1" x14ac:dyDescent="0.2">
      <c r="A212" s="56" t="s">
        <v>885</v>
      </c>
      <c r="B212" s="52">
        <v>251.9</v>
      </c>
      <c r="C212" s="52">
        <v>259.5</v>
      </c>
      <c r="D212" s="58">
        <v>255.7</v>
      </c>
      <c r="E212" s="54">
        <v>43.4</v>
      </c>
      <c r="F212" s="54">
        <v>6.3</v>
      </c>
      <c r="G212" s="58">
        <v>10</v>
      </c>
      <c r="H212" s="52">
        <v>195.9</v>
      </c>
      <c r="I212" s="52">
        <v>-13.8</v>
      </c>
      <c r="J212" s="52">
        <v>139.80000000000001</v>
      </c>
      <c r="K212" s="52">
        <v>4.0999999999999996</v>
      </c>
      <c r="L212" s="55">
        <v>-51.1</v>
      </c>
      <c r="M212" s="55">
        <v>340.7</v>
      </c>
      <c r="N212" s="54">
        <v>160.30000000000001</v>
      </c>
      <c r="O212" s="54">
        <v>3.5</v>
      </c>
      <c r="P212" s="54" t="s">
        <v>1203</v>
      </c>
      <c r="Q212" s="54" t="s">
        <v>1203</v>
      </c>
      <c r="R212" s="52">
        <v>301</v>
      </c>
      <c r="S212" s="55">
        <v>-37.614608950548302</v>
      </c>
      <c r="T212" s="55">
        <v>63.300230149789002</v>
      </c>
      <c r="U212" s="54">
        <v>46.041178267360799</v>
      </c>
      <c r="V212" s="54">
        <v>3.8904489598693401</v>
      </c>
      <c r="W212" s="54">
        <v>58.1952919941834</v>
      </c>
      <c r="X212" s="52" t="s">
        <v>1204</v>
      </c>
      <c r="Y212" s="56"/>
      <c r="Z212" s="56"/>
      <c r="AA212" s="52" t="b">
        <v>0</v>
      </c>
      <c r="AB212" s="52" t="s">
        <v>165</v>
      </c>
      <c r="AC212" s="49" t="s">
        <v>886</v>
      </c>
      <c r="AD212" s="52">
        <v>1408</v>
      </c>
      <c r="AE212" s="52" t="s">
        <v>147</v>
      </c>
      <c r="AF212" s="56" t="s">
        <v>879</v>
      </c>
      <c r="AG212" s="49" t="s">
        <v>1400</v>
      </c>
      <c r="AH212" s="56"/>
      <c r="AJ212" s="32"/>
    </row>
    <row r="213" spans="1:36" s="12" customFormat="1" ht="14" customHeight="1" x14ac:dyDescent="0.2">
      <c r="A213" s="56" t="s">
        <v>887</v>
      </c>
      <c r="B213" s="54">
        <v>251.9</v>
      </c>
      <c r="C213" s="54">
        <v>259.5</v>
      </c>
      <c r="D213" s="55">
        <v>255.7</v>
      </c>
      <c r="E213" s="54">
        <v>53</v>
      </c>
      <c r="F213" s="54">
        <v>53</v>
      </c>
      <c r="G213" s="58">
        <v>17</v>
      </c>
      <c r="H213" s="54">
        <v>42.2</v>
      </c>
      <c r="I213" s="54">
        <v>39.200000000000003</v>
      </c>
      <c r="J213" s="54">
        <v>94</v>
      </c>
      <c r="K213" s="54">
        <v>3.5</v>
      </c>
      <c r="L213" s="55">
        <v>-45.6</v>
      </c>
      <c r="M213" s="55">
        <v>350.2</v>
      </c>
      <c r="N213" s="54">
        <v>93</v>
      </c>
      <c r="O213" s="54">
        <v>3.7</v>
      </c>
      <c r="P213" s="54" t="s">
        <v>1203</v>
      </c>
      <c r="Q213" s="54" t="s">
        <v>1203</v>
      </c>
      <c r="R213" s="52">
        <v>301</v>
      </c>
      <c r="S213" s="55">
        <v>-29.253891787545399</v>
      </c>
      <c r="T213" s="55">
        <v>63.174865390061399</v>
      </c>
      <c r="U213" s="54">
        <v>46.041178267360799</v>
      </c>
      <c r="V213" s="54">
        <v>3.8904489598693401</v>
      </c>
      <c r="W213" s="54">
        <v>58.1952919941834</v>
      </c>
      <c r="X213" s="52" t="s">
        <v>1204</v>
      </c>
      <c r="Y213" s="56"/>
      <c r="Z213" s="56"/>
      <c r="AA213" s="52" t="b">
        <v>0</v>
      </c>
      <c r="AB213" s="52" t="s">
        <v>165</v>
      </c>
      <c r="AC213" s="49" t="s">
        <v>888</v>
      </c>
      <c r="AD213" s="52"/>
      <c r="AE213" s="52" t="s">
        <v>147</v>
      </c>
      <c r="AF213" s="56" t="s">
        <v>879</v>
      </c>
      <c r="AG213" s="49"/>
      <c r="AH213" s="56"/>
      <c r="AJ213" s="32"/>
    </row>
    <row r="214" spans="1:36" s="12" customFormat="1" ht="14" customHeight="1" x14ac:dyDescent="0.2">
      <c r="A214" s="56" t="s">
        <v>893</v>
      </c>
      <c r="B214" s="52">
        <v>254.2</v>
      </c>
      <c r="C214" s="52">
        <v>259.5</v>
      </c>
      <c r="D214" s="55">
        <v>256.85000000000002</v>
      </c>
      <c r="E214" s="52">
        <v>50.9</v>
      </c>
      <c r="F214" s="52">
        <v>16.100000000000001</v>
      </c>
      <c r="G214" s="58">
        <v>25</v>
      </c>
      <c r="H214" s="52">
        <v>21</v>
      </c>
      <c r="I214" s="52">
        <v>29</v>
      </c>
      <c r="J214" s="52">
        <v>35.299999999999997</v>
      </c>
      <c r="K214" s="52">
        <v>4.9000000000000004</v>
      </c>
      <c r="L214" s="55">
        <v>-50</v>
      </c>
      <c r="M214" s="55">
        <v>343</v>
      </c>
      <c r="N214" s="54"/>
      <c r="O214" s="54"/>
      <c r="P214" s="54">
        <v>62.441754510003484</v>
      </c>
      <c r="Q214" s="54">
        <v>3.6924489834059786</v>
      </c>
      <c r="R214" s="52">
        <v>301</v>
      </c>
      <c r="S214" s="55">
        <v>-35.785703655851798</v>
      </c>
      <c r="T214" s="55">
        <v>63.323816945415203</v>
      </c>
      <c r="U214" s="54">
        <v>46.041178267360799</v>
      </c>
      <c r="V214" s="54">
        <v>3.8904489598693401</v>
      </c>
      <c r="W214" s="54">
        <v>58.1952919941834</v>
      </c>
      <c r="X214" s="52" t="s">
        <v>1204</v>
      </c>
      <c r="Y214" s="56"/>
      <c r="Z214" s="56"/>
      <c r="AA214" s="52" t="b">
        <v>1</v>
      </c>
      <c r="AB214" s="52" t="s">
        <v>165</v>
      </c>
      <c r="AC214" s="49" t="s">
        <v>894</v>
      </c>
      <c r="AD214" s="52">
        <v>3161</v>
      </c>
      <c r="AE214" s="52" t="s">
        <v>147</v>
      </c>
      <c r="AF214" s="56" t="s">
        <v>895</v>
      </c>
      <c r="AG214" s="49" t="s">
        <v>1402</v>
      </c>
      <c r="AH214" s="56"/>
      <c r="AJ214" s="32"/>
    </row>
    <row r="215" spans="1:36" s="17" customFormat="1" ht="14" customHeight="1" x14ac:dyDescent="0.2">
      <c r="A215" s="10" t="s">
        <v>896</v>
      </c>
      <c r="B215" s="9">
        <v>254.2</v>
      </c>
      <c r="C215" s="9">
        <v>264.3</v>
      </c>
      <c r="D215" s="13">
        <v>259.25</v>
      </c>
      <c r="E215" s="9">
        <v>50.62</v>
      </c>
      <c r="F215" s="9">
        <v>-3.41</v>
      </c>
      <c r="G215" s="34">
        <v>81</v>
      </c>
      <c r="H215" s="9">
        <v>13.7</v>
      </c>
      <c r="I215" s="9">
        <v>45.6</v>
      </c>
      <c r="J215" s="9">
        <v>22</v>
      </c>
      <c r="K215" s="9">
        <v>3.4</v>
      </c>
      <c r="L215" s="13">
        <v>-65.599999999999994</v>
      </c>
      <c r="M215" s="13">
        <v>325.89999999999998</v>
      </c>
      <c r="N215" s="9">
        <v>22.4</v>
      </c>
      <c r="O215" s="9">
        <v>3.4</v>
      </c>
      <c r="P215" s="9" t="s">
        <v>1203</v>
      </c>
      <c r="Q215" s="9" t="s">
        <v>1203</v>
      </c>
      <c r="R215" s="7">
        <v>301</v>
      </c>
      <c r="S215" s="13">
        <v>-50.914298389467596</v>
      </c>
      <c r="T215" s="13">
        <v>76.721264555398307</v>
      </c>
      <c r="U215" s="9">
        <v>46.041178267360799</v>
      </c>
      <c r="V215" s="9">
        <v>3.8904489598693401</v>
      </c>
      <c r="W215" s="9">
        <v>58.1952919941834</v>
      </c>
      <c r="X215" s="7" t="s">
        <v>1204</v>
      </c>
      <c r="Y215" s="28">
        <v>0.49</v>
      </c>
      <c r="Z215" s="7">
        <v>3.82</v>
      </c>
      <c r="AA215" s="7" t="s">
        <v>152</v>
      </c>
      <c r="AB215" s="7">
        <v>0</v>
      </c>
      <c r="AC215" s="14" t="s">
        <v>1464</v>
      </c>
      <c r="AD215" s="7"/>
      <c r="AE215" s="7" t="s">
        <v>1369</v>
      </c>
      <c r="AF215" s="10" t="s">
        <v>897</v>
      </c>
      <c r="AG215" s="14" t="s">
        <v>767</v>
      </c>
      <c r="AH215" s="10"/>
      <c r="AJ215" s="32"/>
    </row>
    <row r="216" spans="1:36" s="19" customFormat="1" ht="14" customHeight="1" x14ac:dyDescent="0.2">
      <c r="A216" s="10" t="s">
        <v>902</v>
      </c>
      <c r="B216" s="7">
        <v>259.39999999999998</v>
      </c>
      <c r="C216" s="7">
        <v>264.3</v>
      </c>
      <c r="D216" s="13">
        <v>261.85000000000002</v>
      </c>
      <c r="E216" s="48">
        <v>43.341000000000001</v>
      </c>
      <c r="F216" s="9">
        <v>6.2939999999999996</v>
      </c>
      <c r="G216" s="34">
        <v>118</v>
      </c>
      <c r="H216" s="9">
        <v>190.2</v>
      </c>
      <c r="I216" s="9">
        <v>-16.100000000000001</v>
      </c>
      <c r="J216" s="9">
        <v>35.299999999999997</v>
      </c>
      <c r="K216" s="9">
        <v>2</v>
      </c>
      <c r="L216" s="13">
        <v>-54</v>
      </c>
      <c r="M216" s="13">
        <v>348.9</v>
      </c>
      <c r="N216" s="7">
        <v>69.099999999999994</v>
      </c>
      <c r="O216" s="7">
        <v>1.6</v>
      </c>
      <c r="P216" s="9" t="s">
        <v>1203</v>
      </c>
      <c r="Q216" s="9" t="s">
        <v>1203</v>
      </c>
      <c r="R216" s="7">
        <v>301</v>
      </c>
      <c r="S216" s="13">
        <v>-35.461105465540797</v>
      </c>
      <c r="T216" s="13">
        <v>69.955746389307194</v>
      </c>
      <c r="U216" s="9">
        <v>46.041178267360799</v>
      </c>
      <c r="V216" s="9">
        <v>3.8904489598693401</v>
      </c>
      <c r="W216" s="9">
        <v>58.1952919941834</v>
      </c>
      <c r="X216" s="7" t="s">
        <v>1204</v>
      </c>
      <c r="Y216" s="7">
        <v>0.81</v>
      </c>
      <c r="Z216" s="28">
        <v>0.97</v>
      </c>
      <c r="AA216" s="7" t="s">
        <v>152</v>
      </c>
      <c r="AB216" s="7">
        <v>0</v>
      </c>
      <c r="AC216" s="14" t="s">
        <v>903</v>
      </c>
      <c r="AD216" s="7"/>
      <c r="AE216" s="7" t="s">
        <v>1369</v>
      </c>
      <c r="AF216" s="10" t="s">
        <v>904</v>
      </c>
      <c r="AG216" s="14" t="s">
        <v>767</v>
      </c>
      <c r="AH216" s="10"/>
      <c r="AJ216" s="32"/>
    </row>
    <row r="217" spans="1:36" s="17" customFormat="1" ht="14" customHeight="1" x14ac:dyDescent="0.2">
      <c r="A217" s="56" t="s">
        <v>910</v>
      </c>
      <c r="B217" s="54">
        <v>251.9</v>
      </c>
      <c r="C217" s="54">
        <v>274.39999999999998</v>
      </c>
      <c r="D217" s="55">
        <f>(B217+C217)/2</f>
        <v>263.14999999999998</v>
      </c>
      <c r="E217" s="54">
        <v>45.1</v>
      </c>
      <c r="F217" s="54">
        <v>1.5</v>
      </c>
      <c r="G217" s="58">
        <v>15</v>
      </c>
      <c r="H217" s="54">
        <v>192.4</v>
      </c>
      <c r="I217" s="54">
        <v>-10.6</v>
      </c>
      <c r="J217" s="54">
        <v>97.9</v>
      </c>
      <c r="K217" s="54">
        <v>3.9</v>
      </c>
      <c r="L217" s="55">
        <v>-48.8</v>
      </c>
      <c r="M217" s="55">
        <v>342.5</v>
      </c>
      <c r="N217" s="54">
        <v>217.3</v>
      </c>
      <c r="O217" s="54">
        <v>2.6</v>
      </c>
      <c r="P217" s="54" t="s">
        <v>1203</v>
      </c>
      <c r="Q217" s="54" t="s">
        <v>1203</v>
      </c>
      <c r="R217" s="52">
        <v>301</v>
      </c>
      <c r="S217" s="55">
        <v>-35.290228414577598</v>
      </c>
      <c r="T217" s="55">
        <v>61.922428832758001</v>
      </c>
      <c r="U217" s="54">
        <v>46.041178267360799</v>
      </c>
      <c r="V217" s="54">
        <v>3.8904489598693401</v>
      </c>
      <c r="W217" s="54">
        <v>58.1952919941834</v>
      </c>
      <c r="X217" s="52" t="s">
        <v>1204</v>
      </c>
      <c r="Y217" s="56"/>
      <c r="Z217" s="56"/>
      <c r="AA217" s="52" t="b">
        <v>0</v>
      </c>
      <c r="AB217" s="52" t="s">
        <v>165</v>
      </c>
      <c r="AC217" s="49" t="s">
        <v>911</v>
      </c>
      <c r="AD217" s="52">
        <v>3144</v>
      </c>
      <c r="AE217" s="52" t="s">
        <v>147</v>
      </c>
      <c r="AF217" s="56" t="s">
        <v>913</v>
      </c>
      <c r="AG217" s="49" t="s">
        <v>1404</v>
      </c>
      <c r="AH217" s="49" t="s">
        <v>1361</v>
      </c>
      <c r="AJ217" s="32"/>
    </row>
    <row r="218" spans="1:36" s="12" customFormat="1" ht="14" customHeight="1" x14ac:dyDescent="0.2">
      <c r="A218" s="56" t="s">
        <v>915</v>
      </c>
      <c r="B218" s="54">
        <v>262</v>
      </c>
      <c r="C218" s="54">
        <v>266</v>
      </c>
      <c r="D218" s="55">
        <v>264</v>
      </c>
      <c r="E218" s="54">
        <v>43.5</v>
      </c>
      <c r="F218" s="54">
        <v>6.8</v>
      </c>
      <c r="G218" s="58">
        <v>12</v>
      </c>
      <c r="H218" s="54">
        <v>206.5</v>
      </c>
      <c r="I218" s="54">
        <v>-23.5</v>
      </c>
      <c r="J218" s="54">
        <v>52</v>
      </c>
      <c r="K218" s="54">
        <v>6.1</v>
      </c>
      <c r="L218" s="55">
        <v>-51.5</v>
      </c>
      <c r="M218" s="55">
        <v>322</v>
      </c>
      <c r="N218" s="54"/>
      <c r="O218" s="54"/>
      <c r="P218" s="54">
        <v>103.57430984940224</v>
      </c>
      <c r="Q218" s="54">
        <v>4.2849285758023354</v>
      </c>
      <c r="R218" s="52">
        <v>301</v>
      </c>
      <c r="S218" s="55">
        <v>-47.726341761268799</v>
      </c>
      <c r="T218" s="55">
        <v>55.344897412744899</v>
      </c>
      <c r="U218" s="54">
        <v>46.041178267360799</v>
      </c>
      <c r="V218" s="54">
        <v>3.8904489598693401</v>
      </c>
      <c r="W218" s="54">
        <v>58.1952919941834</v>
      </c>
      <c r="X218" s="52" t="s">
        <v>1202</v>
      </c>
      <c r="Y218" s="56"/>
      <c r="Z218" s="56"/>
      <c r="AA218" s="52" t="b">
        <v>0</v>
      </c>
      <c r="AB218" s="52" t="s">
        <v>31</v>
      </c>
      <c r="AC218" s="49" t="s">
        <v>890</v>
      </c>
      <c r="AD218" s="52">
        <v>165</v>
      </c>
      <c r="AE218" s="52" t="s">
        <v>147</v>
      </c>
      <c r="AF218" s="56" t="s">
        <v>917</v>
      </c>
      <c r="AG218" s="49"/>
      <c r="AH218" s="56" t="s">
        <v>916</v>
      </c>
      <c r="AJ218" s="32"/>
    </row>
    <row r="219" spans="1:36" s="12" customFormat="1" ht="14" customHeight="1" x14ac:dyDescent="0.2">
      <c r="A219" s="56" t="s">
        <v>927</v>
      </c>
      <c r="B219" s="54">
        <v>259.60000000000002</v>
      </c>
      <c r="C219" s="54">
        <v>274.39999999999998</v>
      </c>
      <c r="D219" s="55">
        <v>267</v>
      </c>
      <c r="E219" s="54">
        <v>43.7</v>
      </c>
      <c r="F219" s="54">
        <v>3.4</v>
      </c>
      <c r="G219" s="58">
        <v>20</v>
      </c>
      <c r="H219" s="54">
        <v>203.9</v>
      </c>
      <c r="I219" s="54">
        <v>-20.399999999999999</v>
      </c>
      <c r="J219" s="54">
        <v>73</v>
      </c>
      <c r="K219" s="54">
        <v>3.8</v>
      </c>
      <c r="L219" s="55">
        <v>-50.9</v>
      </c>
      <c r="M219" s="55">
        <v>324.2</v>
      </c>
      <c r="N219" s="54"/>
      <c r="O219" s="54"/>
      <c r="P219" s="54">
        <v>153.77722753548653</v>
      </c>
      <c r="Q219" s="54">
        <v>2.6403158843026966</v>
      </c>
      <c r="R219" s="52">
        <v>301</v>
      </c>
      <c r="S219" s="55">
        <v>-46.228078041008203</v>
      </c>
      <c r="T219" s="55">
        <v>55.5262507098236</v>
      </c>
      <c r="U219" s="54">
        <v>46.041178267360799</v>
      </c>
      <c r="V219" s="54">
        <v>3.8904489598693401</v>
      </c>
      <c r="W219" s="54">
        <v>58.1952919941834</v>
      </c>
      <c r="X219" s="52" t="s">
        <v>1204</v>
      </c>
      <c r="Y219" s="56"/>
      <c r="Z219" s="56"/>
      <c r="AA219" s="52" t="b">
        <v>0</v>
      </c>
      <c r="AB219" s="52" t="s">
        <v>165</v>
      </c>
      <c r="AC219" s="49" t="s">
        <v>928</v>
      </c>
      <c r="AD219" s="52">
        <v>2361</v>
      </c>
      <c r="AE219" s="52" t="s">
        <v>147</v>
      </c>
      <c r="AF219" s="56" t="s">
        <v>929</v>
      </c>
      <c r="AG219" s="49" t="s">
        <v>1400</v>
      </c>
      <c r="AH219" s="56"/>
      <c r="AJ219" s="32"/>
    </row>
    <row r="220" spans="1:36" s="12" customFormat="1" ht="14" customHeight="1" x14ac:dyDescent="0.2">
      <c r="A220" s="56" t="s">
        <v>932</v>
      </c>
      <c r="B220" s="54">
        <v>265.3</v>
      </c>
      <c r="C220" s="54">
        <v>272.10000000000002</v>
      </c>
      <c r="D220" s="55">
        <v>268.7</v>
      </c>
      <c r="E220" s="54">
        <v>50.1</v>
      </c>
      <c r="F220" s="54">
        <v>19.7</v>
      </c>
      <c r="G220" s="58">
        <v>5</v>
      </c>
      <c r="H220" s="54">
        <v>23</v>
      </c>
      <c r="I220" s="54">
        <v>28</v>
      </c>
      <c r="J220" s="54">
        <v>345.1</v>
      </c>
      <c r="K220" s="54">
        <v>4.0999999999999996</v>
      </c>
      <c r="L220" s="55">
        <v>-50</v>
      </c>
      <c r="M220" s="55">
        <v>344</v>
      </c>
      <c r="N220" s="54"/>
      <c r="O220" s="54"/>
      <c r="P220" s="54">
        <v>624.90292644731028</v>
      </c>
      <c r="Q220" s="54">
        <v>3.0633281862653092</v>
      </c>
      <c r="R220" s="52">
        <v>301</v>
      </c>
      <c r="S220" s="55">
        <v>-35.283893328601302</v>
      </c>
      <c r="T220" s="55">
        <v>63.8174440079531</v>
      </c>
      <c r="U220" s="54">
        <v>46.041178267360799</v>
      </c>
      <c r="V220" s="54">
        <v>3.8904489598693401</v>
      </c>
      <c r="W220" s="54">
        <v>58.1952919941834</v>
      </c>
      <c r="X220" s="52" t="s">
        <v>1202</v>
      </c>
      <c r="Y220" s="56"/>
      <c r="Z220" s="56"/>
      <c r="AA220" s="52" t="b">
        <v>0</v>
      </c>
      <c r="AB220" s="52">
        <v>0</v>
      </c>
      <c r="AC220" s="49" t="s">
        <v>933</v>
      </c>
      <c r="AD220" s="52"/>
      <c r="AE220" s="52" t="s">
        <v>147</v>
      </c>
      <c r="AF220" s="56" t="s">
        <v>934</v>
      </c>
      <c r="AG220" s="49" t="s">
        <v>1273</v>
      </c>
      <c r="AH220" s="56" t="s">
        <v>1418</v>
      </c>
      <c r="AJ220" s="32"/>
    </row>
    <row r="221" spans="1:36" s="12" customFormat="1" ht="14" customHeight="1" x14ac:dyDescent="0.2">
      <c r="A221" s="10" t="s">
        <v>935</v>
      </c>
      <c r="B221" s="9">
        <v>268.3</v>
      </c>
      <c r="C221" s="9">
        <v>274.7</v>
      </c>
      <c r="D221" s="13">
        <v>271</v>
      </c>
      <c r="E221" s="9">
        <v>60.3</v>
      </c>
      <c r="F221" s="9">
        <v>10.5</v>
      </c>
      <c r="G221" s="6">
        <v>8</v>
      </c>
      <c r="H221" s="9">
        <v>197.1</v>
      </c>
      <c r="I221" s="9">
        <v>-43.2</v>
      </c>
      <c r="J221" s="9">
        <v>89.1</v>
      </c>
      <c r="K221" s="9">
        <v>5.9</v>
      </c>
      <c r="L221" s="13">
        <v>-52.9</v>
      </c>
      <c r="M221" s="13">
        <v>344.4</v>
      </c>
      <c r="N221" s="9"/>
      <c r="O221" s="9"/>
      <c r="P221" s="9">
        <v>103.84589002969335</v>
      </c>
      <c r="Q221" s="9">
        <v>5.4609884058426497</v>
      </c>
      <c r="R221" s="7">
        <v>301</v>
      </c>
      <c r="S221" s="13">
        <v>-36.881202375256201</v>
      </c>
      <c r="T221" s="13">
        <v>66.828624619808195</v>
      </c>
      <c r="U221" s="9">
        <v>46.041178267360799</v>
      </c>
      <c r="V221" s="9">
        <v>3.8904489598693401</v>
      </c>
      <c r="W221" s="9">
        <v>58.1952919941834</v>
      </c>
      <c r="X221" s="7" t="s">
        <v>1202</v>
      </c>
      <c r="Y221" s="10"/>
      <c r="Z221" s="10"/>
      <c r="AA221" s="7" t="b">
        <v>1</v>
      </c>
      <c r="AB221" s="7">
        <v>0</v>
      </c>
      <c r="AC221" s="14" t="s">
        <v>938</v>
      </c>
      <c r="AD221" s="7">
        <v>3188</v>
      </c>
      <c r="AE221" s="7" t="s">
        <v>147</v>
      </c>
      <c r="AF221" s="10" t="s">
        <v>937</v>
      </c>
      <c r="AG221" s="14" t="s">
        <v>1275</v>
      </c>
      <c r="AH221" s="10"/>
      <c r="AJ221" s="32"/>
    </row>
    <row r="222" spans="1:36" s="17" customFormat="1" ht="14" customHeight="1" x14ac:dyDescent="0.2">
      <c r="A222" s="10" t="s">
        <v>935</v>
      </c>
      <c r="B222" s="9">
        <v>268.3</v>
      </c>
      <c r="C222" s="9">
        <v>274.7</v>
      </c>
      <c r="D222" s="13">
        <v>271</v>
      </c>
      <c r="E222" s="9">
        <v>60.3</v>
      </c>
      <c r="F222" s="9">
        <v>10.5</v>
      </c>
      <c r="G222" s="6">
        <v>25</v>
      </c>
      <c r="H222" s="9">
        <v>197.2</v>
      </c>
      <c r="I222" s="9">
        <v>-39.700000000000003</v>
      </c>
      <c r="J222" s="9">
        <v>65.7</v>
      </c>
      <c r="K222" s="9">
        <v>3.6</v>
      </c>
      <c r="L222" s="13">
        <v>-50.9</v>
      </c>
      <c r="M222" s="13">
        <v>343.6</v>
      </c>
      <c r="N222" s="9">
        <v>68.7</v>
      </c>
      <c r="O222" s="9">
        <v>3.5</v>
      </c>
      <c r="P222" s="9" t="s">
        <v>1203</v>
      </c>
      <c r="Q222" s="9" t="s">
        <v>1203</v>
      </c>
      <c r="R222" s="7">
        <v>301</v>
      </c>
      <c r="S222" s="13">
        <v>-36.0441349167616</v>
      </c>
      <c r="T222" s="13">
        <v>64.488124720821205</v>
      </c>
      <c r="U222" s="9">
        <v>46.041178267360799</v>
      </c>
      <c r="V222" s="9">
        <v>3.8904489598693401</v>
      </c>
      <c r="W222" s="9">
        <v>58.1952919941834</v>
      </c>
      <c r="X222" s="7" t="s">
        <v>1202</v>
      </c>
      <c r="Y222" s="10"/>
      <c r="Z222" s="10"/>
      <c r="AA222" s="7" t="b">
        <v>1</v>
      </c>
      <c r="AB222" s="7">
        <v>0</v>
      </c>
      <c r="AC222" s="14" t="s">
        <v>936</v>
      </c>
      <c r="AD222" s="7"/>
      <c r="AE222" s="7" t="s">
        <v>147</v>
      </c>
      <c r="AF222" s="10" t="s">
        <v>937</v>
      </c>
      <c r="AG222" s="14" t="s">
        <v>1274</v>
      </c>
      <c r="AH222" s="10"/>
      <c r="AJ222" s="32"/>
    </row>
    <row r="223" spans="1:36" s="17" customFormat="1" ht="14" customHeight="1" x14ac:dyDescent="0.2">
      <c r="A223" s="14" t="s">
        <v>939</v>
      </c>
      <c r="B223" s="9">
        <v>269.2</v>
      </c>
      <c r="C223" s="9">
        <v>274.39999999999998</v>
      </c>
      <c r="D223" s="13">
        <f>AVERAGE(B223,C223)</f>
        <v>271.79999999999995</v>
      </c>
      <c r="E223" s="9">
        <v>44.03</v>
      </c>
      <c r="F223" s="9">
        <v>6.58</v>
      </c>
      <c r="G223" s="34">
        <v>206</v>
      </c>
      <c r="H223" s="9">
        <v>207.4</v>
      </c>
      <c r="I223" s="9">
        <v>-16.600000000000001</v>
      </c>
      <c r="J223" s="9">
        <v>24.1</v>
      </c>
      <c r="K223" s="9">
        <v>2</v>
      </c>
      <c r="L223" s="13">
        <v>-47.2067864131173</v>
      </c>
      <c r="M223" s="13">
        <v>324.51251914167938</v>
      </c>
      <c r="N223" s="9">
        <v>41.8</v>
      </c>
      <c r="O223" s="9">
        <v>1.5</v>
      </c>
      <c r="P223" s="9" t="s">
        <v>1203</v>
      </c>
      <c r="Q223" s="9" t="s">
        <v>1203</v>
      </c>
      <c r="R223" s="7">
        <v>301</v>
      </c>
      <c r="S223" s="13">
        <v>-44.165397457934198</v>
      </c>
      <c r="T223" s="13">
        <v>51.167652266135697</v>
      </c>
      <c r="U223" s="9">
        <v>46.041178267360799</v>
      </c>
      <c r="V223" s="9">
        <v>3.8904489598693401</v>
      </c>
      <c r="W223" s="9">
        <v>58.1952919941834</v>
      </c>
      <c r="X223" s="7" t="s">
        <v>1204</v>
      </c>
      <c r="Y223" s="7">
        <v>0.99</v>
      </c>
      <c r="Z223" s="7">
        <v>0</v>
      </c>
      <c r="AA223" s="7" t="s">
        <v>148</v>
      </c>
      <c r="AB223" s="7">
        <v>0</v>
      </c>
      <c r="AC223" s="14" t="s">
        <v>940</v>
      </c>
      <c r="AD223" s="7"/>
      <c r="AE223" s="7" t="s">
        <v>1369</v>
      </c>
      <c r="AF223" s="10" t="s">
        <v>942</v>
      </c>
      <c r="AG223" s="14" t="s">
        <v>941</v>
      </c>
      <c r="AH223" s="10"/>
      <c r="AJ223" s="32"/>
    </row>
    <row r="224" spans="1:36" s="12" customFormat="1" ht="14" customHeight="1" x14ac:dyDescent="0.2">
      <c r="A224" s="56" t="s">
        <v>943</v>
      </c>
      <c r="B224" s="52">
        <v>269.2</v>
      </c>
      <c r="C224" s="52">
        <v>274.39999999999998</v>
      </c>
      <c r="D224" s="58">
        <v>271.8</v>
      </c>
      <c r="E224" s="54">
        <v>44</v>
      </c>
      <c r="F224" s="54">
        <v>6.8</v>
      </c>
      <c r="G224" s="58">
        <v>30</v>
      </c>
      <c r="H224" s="52">
        <v>206.2</v>
      </c>
      <c r="I224" s="52">
        <v>-13.4</v>
      </c>
      <c r="J224" s="52">
        <v>95.1</v>
      </c>
      <c r="K224" s="52">
        <v>2.7</v>
      </c>
      <c r="L224" s="55">
        <v>-46.2</v>
      </c>
      <c r="M224" s="55">
        <v>327.39999999999998</v>
      </c>
      <c r="N224" s="54"/>
      <c r="O224" s="54"/>
      <c r="P224" s="54">
        <v>220.82063814296103</v>
      </c>
      <c r="Q224" s="54">
        <v>1.7725193315560097</v>
      </c>
      <c r="R224" s="52">
        <v>301</v>
      </c>
      <c r="S224" s="55">
        <v>-41.957811044472002</v>
      </c>
      <c r="T224" s="55">
        <v>51.5039516334434</v>
      </c>
      <c r="U224" s="54">
        <v>46.041178267360799</v>
      </c>
      <c r="V224" s="54">
        <v>3.8904489598693401</v>
      </c>
      <c r="W224" s="54">
        <v>58.1952919941834</v>
      </c>
      <c r="X224" s="52" t="s">
        <v>1204</v>
      </c>
      <c r="Y224" s="56"/>
      <c r="Z224" s="56"/>
      <c r="AA224" s="52" t="b">
        <v>0</v>
      </c>
      <c r="AB224" s="52" t="s">
        <v>165</v>
      </c>
      <c r="AC224" s="49" t="s">
        <v>944</v>
      </c>
      <c r="AD224" s="52">
        <v>652</v>
      </c>
      <c r="AE224" s="52" t="s">
        <v>147</v>
      </c>
      <c r="AF224" s="56" t="s">
        <v>945</v>
      </c>
      <c r="AG224" s="49" t="s">
        <v>912</v>
      </c>
      <c r="AH224" s="56"/>
      <c r="AJ224" s="32"/>
    </row>
    <row r="225" spans="1:36" s="12" customFormat="1" ht="14" customHeight="1" x14ac:dyDescent="0.2">
      <c r="A225" s="14" t="s">
        <v>949</v>
      </c>
      <c r="B225" s="9">
        <v>264.3</v>
      </c>
      <c r="C225" s="9">
        <v>283.3</v>
      </c>
      <c r="D225" s="13">
        <f>AVERAGE(B225,C225)</f>
        <v>273.8</v>
      </c>
      <c r="E225" s="9">
        <v>43.69</v>
      </c>
      <c r="F225" s="9">
        <v>3.35</v>
      </c>
      <c r="G225" s="34">
        <v>146</v>
      </c>
      <c r="H225" s="9">
        <v>199.6</v>
      </c>
      <c r="I225" s="9">
        <v>2.7</v>
      </c>
      <c r="J225" s="9">
        <v>15</v>
      </c>
      <c r="K225" s="9">
        <v>3.1</v>
      </c>
      <c r="L225" s="13">
        <v>-41.66067883443182</v>
      </c>
      <c r="M225" s="13">
        <v>336.67793199850655</v>
      </c>
      <c r="N225" s="9">
        <v>33.299999999999997</v>
      </c>
      <c r="O225" s="9">
        <v>2.1</v>
      </c>
      <c r="P225" s="9" t="s">
        <v>1203</v>
      </c>
      <c r="Q225" s="9" t="s">
        <v>1203</v>
      </c>
      <c r="R225" s="7">
        <v>301</v>
      </c>
      <c r="S225" s="13">
        <v>-33.900499578779304</v>
      </c>
      <c r="T225" s="13">
        <v>52.0671828881406</v>
      </c>
      <c r="U225" s="9">
        <v>46.041178267360799</v>
      </c>
      <c r="V225" s="9">
        <v>3.8904489598693401</v>
      </c>
      <c r="W225" s="9">
        <v>58.1952919941834</v>
      </c>
      <c r="X225" s="7" t="s">
        <v>1204</v>
      </c>
      <c r="Y225" s="7">
        <v>0.77</v>
      </c>
      <c r="Z225" s="7">
        <v>0.79</v>
      </c>
      <c r="AA225" s="7" t="s">
        <v>148</v>
      </c>
      <c r="AB225" s="7">
        <v>0</v>
      </c>
      <c r="AC225" s="14" t="s">
        <v>950</v>
      </c>
      <c r="AD225" s="7"/>
      <c r="AE225" s="7" t="s">
        <v>1369</v>
      </c>
      <c r="AF225" s="10" t="s">
        <v>952</v>
      </c>
      <c r="AG225" s="14" t="s">
        <v>951</v>
      </c>
      <c r="AH225" s="10"/>
      <c r="AJ225" s="32"/>
    </row>
    <row r="226" spans="1:36" s="12" customFormat="1" ht="14" customHeight="1" x14ac:dyDescent="0.2">
      <c r="A226" s="56" t="s">
        <v>955</v>
      </c>
      <c r="B226" s="54">
        <v>264.3</v>
      </c>
      <c r="C226" s="54">
        <v>283.3</v>
      </c>
      <c r="D226" s="55">
        <f>(B226+C226)/2</f>
        <v>273.8</v>
      </c>
      <c r="E226" s="54">
        <v>43.8</v>
      </c>
      <c r="F226" s="54">
        <v>3.3</v>
      </c>
      <c r="G226" s="53">
        <v>3</v>
      </c>
      <c r="H226" s="54">
        <v>194</v>
      </c>
      <c r="I226" s="54">
        <v>-10</v>
      </c>
      <c r="J226" s="54">
        <v>53</v>
      </c>
      <c r="K226" s="54">
        <v>17</v>
      </c>
      <c r="L226" s="55">
        <v>-49.3</v>
      </c>
      <c r="M226" s="55">
        <v>341.6</v>
      </c>
      <c r="N226" s="54"/>
      <c r="O226" s="54"/>
      <c r="P226" s="54">
        <v>127.16047250448098</v>
      </c>
      <c r="Q226" s="54">
        <v>10.97792454856827</v>
      </c>
      <c r="R226" s="52">
        <v>301</v>
      </c>
      <c r="S226" s="55">
        <v>-36.0631157589347</v>
      </c>
      <c r="T226" s="55">
        <v>61.951692647844403</v>
      </c>
      <c r="U226" s="54">
        <v>46.041178267360799</v>
      </c>
      <c r="V226" s="54">
        <v>3.8904489598693401</v>
      </c>
      <c r="W226" s="54">
        <v>58.1952919941834</v>
      </c>
      <c r="X226" s="52" t="s">
        <v>1204</v>
      </c>
      <c r="Y226" s="56"/>
      <c r="Z226" s="56"/>
      <c r="AA226" s="52" t="b">
        <v>1</v>
      </c>
      <c r="AB226" s="52" t="s">
        <v>165</v>
      </c>
      <c r="AC226" s="49" t="s">
        <v>956</v>
      </c>
      <c r="AD226" s="52">
        <v>2454</v>
      </c>
      <c r="AE226" s="52" t="s">
        <v>147</v>
      </c>
      <c r="AF226" s="56" t="s">
        <v>957</v>
      </c>
      <c r="AG226" s="49" t="s">
        <v>1320</v>
      </c>
      <c r="AH226" s="56"/>
      <c r="AJ226" s="32"/>
    </row>
    <row r="227" spans="1:36" s="12" customFormat="1" ht="14" customHeight="1" x14ac:dyDescent="0.2">
      <c r="A227" s="56" t="s">
        <v>958</v>
      </c>
      <c r="B227" s="54">
        <f>275-12</f>
        <v>263</v>
      </c>
      <c r="C227" s="54">
        <f>275+12</f>
        <v>287</v>
      </c>
      <c r="D227" s="55">
        <v>275</v>
      </c>
      <c r="E227" s="52">
        <v>58.6</v>
      </c>
      <c r="F227" s="52">
        <v>11.3</v>
      </c>
      <c r="G227" s="58">
        <v>16</v>
      </c>
      <c r="H227" s="52">
        <v>197.2</v>
      </c>
      <c r="I227" s="52">
        <v>-38.200000000000003</v>
      </c>
      <c r="J227" s="52">
        <v>19.399999999999999</v>
      </c>
      <c r="K227" s="54">
        <v>8.6</v>
      </c>
      <c r="L227" s="55">
        <v>-50.9</v>
      </c>
      <c r="M227" s="55">
        <v>345.4</v>
      </c>
      <c r="N227" s="54"/>
      <c r="O227" s="54"/>
      <c r="P227" s="54">
        <v>26.652412575078696</v>
      </c>
      <c r="Q227" s="54">
        <v>7.2790266476109533</v>
      </c>
      <c r="R227" s="52">
        <v>301</v>
      </c>
      <c r="S227" s="55">
        <v>-35.157708235675599</v>
      </c>
      <c r="T227" s="55">
        <v>65.360320527266893</v>
      </c>
      <c r="U227" s="54">
        <v>46.041178267360799</v>
      </c>
      <c r="V227" s="54">
        <v>3.8904489598693401</v>
      </c>
      <c r="W227" s="54">
        <v>58.1952919941834</v>
      </c>
      <c r="X227" s="52" t="s">
        <v>1202</v>
      </c>
      <c r="Y227" s="56"/>
      <c r="Z227" s="56"/>
      <c r="AA227" s="52" t="b">
        <v>1</v>
      </c>
      <c r="AB227" s="52" t="s">
        <v>31</v>
      </c>
      <c r="AC227" s="49" t="s">
        <v>959</v>
      </c>
      <c r="AD227" s="52">
        <v>1155</v>
      </c>
      <c r="AE227" s="52" t="s">
        <v>147</v>
      </c>
      <c r="AF227" s="56" t="s">
        <v>960</v>
      </c>
      <c r="AG227" s="49" t="s">
        <v>1275</v>
      </c>
      <c r="AH227" s="49" t="s">
        <v>1361</v>
      </c>
      <c r="AJ227" s="32"/>
    </row>
    <row r="228" spans="1:36" s="12" customFormat="1" ht="14" customHeight="1" x14ac:dyDescent="0.2">
      <c r="A228" s="10" t="s">
        <v>969</v>
      </c>
      <c r="B228" s="9">
        <v>275</v>
      </c>
      <c r="C228" s="9">
        <v>280</v>
      </c>
      <c r="D228" s="13">
        <v>277.5</v>
      </c>
      <c r="E228" s="9">
        <v>49.8</v>
      </c>
      <c r="F228" s="9">
        <v>12</v>
      </c>
      <c r="G228" s="34">
        <v>9</v>
      </c>
      <c r="H228" s="9">
        <v>199</v>
      </c>
      <c r="I228" s="9">
        <v>-9.1</v>
      </c>
      <c r="J228" s="9">
        <v>28</v>
      </c>
      <c r="K228" s="9">
        <v>9.9</v>
      </c>
      <c r="L228" s="13">
        <v>-42.3</v>
      </c>
      <c r="M228" s="13">
        <v>345.9</v>
      </c>
      <c r="N228" s="9">
        <v>65.400000000000006</v>
      </c>
      <c r="O228" s="9">
        <v>6.4</v>
      </c>
      <c r="P228" s="9" t="s">
        <v>1203</v>
      </c>
      <c r="Q228" s="9" t="s">
        <v>1203</v>
      </c>
      <c r="R228" s="7">
        <v>301</v>
      </c>
      <c r="S228" s="13">
        <v>-29.2188211265332</v>
      </c>
      <c r="T228" s="13">
        <v>57.990800680871999</v>
      </c>
      <c r="U228" s="9">
        <v>46.041178267360799</v>
      </c>
      <c r="V228" s="9">
        <v>3.8904489598693401</v>
      </c>
      <c r="W228" s="9">
        <v>58.1952919941834</v>
      </c>
      <c r="X228" s="7" t="s">
        <v>1202</v>
      </c>
      <c r="Y228" s="10"/>
      <c r="Z228" s="10"/>
      <c r="AA228" s="7" t="b">
        <v>1</v>
      </c>
      <c r="AB228" s="7">
        <v>0</v>
      </c>
      <c r="AC228" s="14" t="s">
        <v>970</v>
      </c>
      <c r="AD228" s="7">
        <v>2356</v>
      </c>
      <c r="AE228" s="7" t="s">
        <v>147</v>
      </c>
      <c r="AF228" s="10" t="s">
        <v>968</v>
      </c>
      <c r="AG228" s="14" t="s">
        <v>1275</v>
      </c>
      <c r="AH228" s="10"/>
      <c r="AJ228" s="32"/>
    </row>
    <row r="229" spans="1:36" s="12" customFormat="1" ht="14" customHeight="1" x14ac:dyDescent="0.2">
      <c r="A229" s="56" t="s">
        <v>965</v>
      </c>
      <c r="B229" s="54">
        <v>275</v>
      </c>
      <c r="C229" s="54">
        <v>280</v>
      </c>
      <c r="D229" s="55">
        <v>277.5</v>
      </c>
      <c r="E229" s="54">
        <v>49.8</v>
      </c>
      <c r="F229" s="54">
        <v>12</v>
      </c>
      <c r="G229" s="53">
        <v>2</v>
      </c>
      <c r="H229" s="54">
        <v>204.2</v>
      </c>
      <c r="I229" s="54">
        <v>-1</v>
      </c>
      <c r="J229" s="54">
        <v>54.2</v>
      </c>
      <c r="K229" s="54">
        <v>6.6</v>
      </c>
      <c r="L229" s="55">
        <v>-36.5</v>
      </c>
      <c r="M229" s="55">
        <v>341.3</v>
      </c>
      <c r="N229" s="54"/>
      <c r="O229" s="54"/>
      <c r="P229" s="54">
        <v>135.44428917306348</v>
      </c>
      <c r="Q229" s="54">
        <v>21.627362266673778</v>
      </c>
      <c r="R229" s="52">
        <v>301</v>
      </c>
      <c r="S229" s="55">
        <v>-27.776816430002999</v>
      </c>
      <c r="T229" s="55">
        <v>50.427668262023502</v>
      </c>
      <c r="U229" s="54">
        <v>46.041178267360799</v>
      </c>
      <c r="V229" s="54">
        <v>3.8904489598693401</v>
      </c>
      <c r="W229" s="54">
        <v>58.1952919941834</v>
      </c>
      <c r="X229" s="52" t="s">
        <v>1202</v>
      </c>
      <c r="Y229" s="56"/>
      <c r="Z229" s="56"/>
      <c r="AA229" s="52" t="b">
        <v>1</v>
      </c>
      <c r="AB229" s="52" t="s">
        <v>31</v>
      </c>
      <c r="AC229" s="49" t="s">
        <v>966</v>
      </c>
      <c r="AD229" s="52">
        <v>3145</v>
      </c>
      <c r="AE229" s="52" t="s">
        <v>147</v>
      </c>
      <c r="AF229" s="56" t="s">
        <v>968</v>
      </c>
      <c r="AG229" s="49" t="s">
        <v>1318</v>
      </c>
      <c r="AH229" s="56" t="s">
        <v>967</v>
      </c>
      <c r="AJ229" s="32"/>
    </row>
    <row r="230" spans="1:36" s="12" customFormat="1" ht="14" customHeight="1" x14ac:dyDescent="0.2">
      <c r="A230" s="56" t="s">
        <v>974</v>
      </c>
      <c r="B230" s="54">
        <v>265.10000000000002</v>
      </c>
      <c r="C230" s="54">
        <v>290.10000000000002</v>
      </c>
      <c r="D230" s="55">
        <v>277.60000000000002</v>
      </c>
      <c r="E230" s="54">
        <v>43.69</v>
      </c>
      <c r="F230" s="54">
        <v>3.35</v>
      </c>
      <c r="G230" s="58">
        <v>30</v>
      </c>
      <c r="H230" s="54">
        <v>198.9</v>
      </c>
      <c r="I230" s="54">
        <v>-4.8</v>
      </c>
      <c r="J230" s="54">
        <v>30.2</v>
      </c>
      <c r="K230" s="54">
        <v>4.9000000000000004</v>
      </c>
      <c r="L230" s="55">
        <v>-47</v>
      </c>
      <c r="M230" s="55">
        <v>336</v>
      </c>
      <c r="N230" s="54"/>
      <c r="O230" s="54"/>
      <c r="P230" s="54">
        <v>74.787988756822699</v>
      </c>
      <c r="Q230" s="54">
        <v>3.0591551047135472</v>
      </c>
      <c r="R230" s="52">
        <v>301</v>
      </c>
      <c r="S230" s="55">
        <v>-37.620294133197902</v>
      </c>
      <c r="T230" s="55">
        <v>56.8276197524713</v>
      </c>
      <c r="U230" s="54">
        <v>46.041178267360799</v>
      </c>
      <c r="V230" s="54">
        <v>3.8904489598693401</v>
      </c>
      <c r="W230" s="54">
        <v>58.1952919941834</v>
      </c>
      <c r="X230" s="52" t="s">
        <v>1204</v>
      </c>
      <c r="Y230" s="56"/>
      <c r="Z230" s="56"/>
      <c r="AA230" s="52" t="b">
        <v>0</v>
      </c>
      <c r="AB230" s="52" t="s">
        <v>165</v>
      </c>
      <c r="AC230" s="49" t="s">
        <v>975</v>
      </c>
      <c r="AD230" s="52">
        <v>168</v>
      </c>
      <c r="AE230" s="52" t="s">
        <v>147</v>
      </c>
      <c r="AF230" s="56" t="s">
        <v>973</v>
      </c>
      <c r="AG230" s="49" t="s">
        <v>1405</v>
      </c>
      <c r="AH230" s="49" t="s">
        <v>1361</v>
      </c>
      <c r="AJ230" s="32"/>
    </row>
    <row r="231" spans="1:36" s="17" customFormat="1" ht="14" customHeight="1" x14ac:dyDescent="0.2">
      <c r="A231" s="56" t="s">
        <v>971</v>
      </c>
      <c r="B231" s="54">
        <v>265.10000000000002</v>
      </c>
      <c r="C231" s="54">
        <v>290.10000000000002</v>
      </c>
      <c r="D231" s="55">
        <v>277.60000000000002</v>
      </c>
      <c r="E231" s="54">
        <v>43.69</v>
      </c>
      <c r="F231" s="54">
        <v>3.35</v>
      </c>
      <c r="G231" s="58">
        <v>93</v>
      </c>
      <c r="H231" s="54">
        <v>199.2</v>
      </c>
      <c r="I231" s="54">
        <v>-11.8</v>
      </c>
      <c r="J231" s="54">
        <v>229.1</v>
      </c>
      <c r="K231" s="54">
        <v>1.5</v>
      </c>
      <c r="L231" s="55">
        <v>-48.6</v>
      </c>
      <c r="M231" s="55">
        <v>333.5</v>
      </c>
      <c r="N231" s="54"/>
      <c r="O231" s="54"/>
      <c r="P231" s="54">
        <v>540.86603940518535</v>
      </c>
      <c r="Q231" s="54">
        <v>0.63102638918785858</v>
      </c>
      <c r="R231" s="52">
        <v>301</v>
      </c>
      <c r="S231" s="55">
        <v>-39.919284017775297</v>
      </c>
      <c r="T231" s="55">
        <v>57.2200995094422</v>
      </c>
      <c r="U231" s="54">
        <v>46.041178267360799</v>
      </c>
      <c r="V231" s="54">
        <v>3.8904489598693401</v>
      </c>
      <c r="W231" s="54">
        <v>58.1952919941834</v>
      </c>
      <c r="X231" s="52" t="s">
        <v>1204</v>
      </c>
      <c r="Y231" s="56"/>
      <c r="Z231" s="56"/>
      <c r="AA231" s="52" t="b">
        <v>0</v>
      </c>
      <c r="AB231" s="52" t="s">
        <v>165</v>
      </c>
      <c r="AC231" s="49" t="s">
        <v>972</v>
      </c>
      <c r="AD231" s="52">
        <v>1813</v>
      </c>
      <c r="AE231" s="52" t="s">
        <v>147</v>
      </c>
      <c r="AF231" s="56" t="s">
        <v>973</v>
      </c>
      <c r="AG231" s="49"/>
      <c r="AH231" s="49" t="s">
        <v>1361</v>
      </c>
      <c r="AJ231" s="32"/>
    </row>
    <row r="232" spans="1:36" s="17" customFormat="1" ht="14" customHeight="1" x14ac:dyDescent="0.2">
      <c r="A232" s="10" t="s">
        <v>976</v>
      </c>
      <c r="B232" s="9">
        <v>274</v>
      </c>
      <c r="C232" s="9">
        <v>282</v>
      </c>
      <c r="D232" s="13">
        <v>278</v>
      </c>
      <c r="E232" s="7">
        <v>55.7</v>
      </c>
      <c r="F232" s="7">
        <v>13.7</v>
      </c>
      <c r="G232" s="6">
        <v>8</v>
      </c>
      <c r="H232" s="9">
        <v>193.5</v>
      </c>
      <c r="I232" s="9">
        <v>-38</v>
      </c>
      <c r="J232" s="9">
        <v>26</v>
      </c>
      <c r="K232" s="9">
        <v>11</v>
      </c>
      <c r="L232" s="13">
        <v>-54</v>
      </c>
      <c r="M232" s="13">
        <v>351.5</v>
      </c>
      <c r="N232" s="9"/>
      <c r="O232" s="9"/>
      <c r="P232" s="9">
        <v>35.941688309899838</v>
      </c>
      <c r="Q232" s="9">
        <v>9.364837426922529</v>
      </c>
      <c r="R232" s="7">
        <v>301</v>
      </c>
      <c r="S232" s="13">
        <v>-34.289317106650898</v>
      </c>
      <c r="T232" s="13">
        <v>71.151446578435497</v>
      </c>
      <c r="U232" s="9">
        <v>46.041178267360799</v>
      </c>
      <c r="V232" s="9">
        <v>3.8904489598693401</v>
      </c>
      <c r="W232" s="9">
        <v>58.1952919941834</v>
      </c>
      <c r="X232" s="7" t="s">
        <v>1202</v>
      </c>
      <c r="Y232" s="10"/>
      <c r="Z232" s="10"/>
      <c r="AA232" s="7" t="b">
        <v>1</v>
      </c>
      <c r="AB232" s="7">
        <v>0</v>
      </c>
      <c r="AC232" s="14" t="s">
        <v>977</v>
      </c>
      <c r="AD232" s="7">
        <v>2222</v>
      </c>
      <c r="AE232" s="7" t="s">
        <v>147</v>
      </c>
      <c r="AF232" s="10" t="s">
        <v>978</v>
      </c>
      <c r="AG232" s="14" t="s">
        <v>1275</v>
      </c>
      <c r="AH232" s="10"/>
      <c r="AJ232" s="32"/>
    </row>
    <row r="233" spans="1:36" s="12" customFormat="1" ht="14" customHeight="1" x14ac:dyDescent="0.2">
      <c r="A233" s="56" t="s">
        <v>982</v>
      </c>
      <c r="B233" s="54">
        <v>279</v>
      </c>
      <c r="C233" s="54">
        <v>283</v>
      </c>
      <c r="D233" s="55">
        <v>281</v>
      </c>
      <c r="E233" s="54">
        <v>59.5</v>
      </c>
      <c r="F233" s="54">
        <v>10.5</v>
      </c>
      <c r="G233" s="53">
        <v>27</v>
      </c>
      <c r="H233" s="54">
        <v>204</v>
      </c>
      <c r="I233" s="54">
        <v>-36</v>
      </c>
      <c r="J233" s="54">
        <v>773</v>
      </c>
      <c r="K233" s="54">
        <v>1.5</v>
      </c>
      <c r="L233" s="55">
        <v>-47</v>
      </c>
      <c r="M233" s="55">
        <v>337</v>
      </c>
      <c r="N233" s="54"/>
      <c r="O233" s="54"/>
      <c r="P233" s="54">
        <v>1134.9581032666495</v>
      </c>
      <c r="Q233" s="54">
        <v>0.8251547626076623</v>
      </c>
      <c r="R233" s="52">
        <v>301</v>
      </c>
      <c r="S233" s="55">
        <v>-37.077667230191999</v>
      </c>
      <c r="T233" s="55">
        <v>57.347307974111096</v>
      </c>
      <c r="U233" s="54">
        <v>46.041178267360799</v>
      </c>
      <c r="V233" s="54">
        <v>3.8904489598693401</v>
      </c>
      <c r="W233" s="54">
        <v>58.1952919941834</v>
      </c>
      <c r="X233" s="52" t="s">
        <v>1202</v>
      </c>
      <c r="Y233" s="56"/>
      <c r="Z233" s="56"/>
      <c r="AA233" s="52" t="b">
        <v>0</v>
      </c>
      <c r="AB233" s="52">
        <v>0</v>
      </c>
      <c r="AC233" s="49" t="s">
        <v>983</v>
      </c>
      <c r="AD233" s="52">
        <v>915</v>
      </c>
      <c r="AE233" s="52" t="s">
        <v>147</v>
      </c>
      <c r="AF233" s="56" t="s">
        <v>984</v>
      </c>
      <c r="AG233" s="49" t="s">
        <v>1277</v>
      </c>
      <c r="AH233" s="56"/>
      <c r="AJ233" s="32"/>
    </row>
    <row r="234" spans="1:36" s="12" customFormat="1" ht="14" customHeight="1" x14ac:dyDescent="0.2">
      <c r="A234" s="56" t="s">
        <v>988</v>
      </c>
      <c r="B234" s="54">
        <v>267</v>
      </c>
      <c r="C234" s="54">
        <v>295</v>
      </c>
      <c r="D234" s="55">
        <v>281</v>
      </c>
      <c r="E234" s="54">
        <v>61.7</v>
      </c>
      <c r="F234" s="54">
        <v>12.9</v>
      </c>
      <c r="G234" s="53">
        <v>19</v>
      </c>
      <c r="H234" s="54">
        <v>201.1</v>
      </c>
      <c r="I234" s="54">
        <v>-23.2</v>
      </c>
      <c r="J234" s="54">
        <v>25</v>
      </c>
      <c r="K234" s="54">
        <v>6.9</v>
      </c>
      <c r="L234" s="55">
        <v>-38</v>
      </c>
      <c r="M234" s="55">
        <v>346</v>
      </c>
      <c r="N234" s="54"/>
      <c r="O234" s="54"/>
      <c r="P234" s="54">
        <v>50.083187195628007</v>
      </c>
      <c r="Q234" s="54">
        <v>4.7891681260191739</v>
      </c>
      <c r="R234" s="52">
        <v>301</v>
      </c>
      <c r="S234" s="55">
        <v>-26.163457056565299</v>
      </c>
      <c r="T234" s="55">
        <v>54.571810280347798</v>
      </c>
      <c r="U234" s="54">
        <v>46.041178267360799</v>
      </c>
      <c r="V234" s="54">
        <v>3.8904489598693401</v>
      </c>
      <c r="W234" s="54">
        <v>58.1952919941834</v>
      </c>
      <c r="X234" s="52" t="s">
        <v>1202</v>
      </c>
      <c r="Y234" s="56"/>
      <c r="Z234" s="56"/>
      <c r="AA234" s="52" t="b">
        <v>1</v>
      </c>
      <c r="AB234" s="52" t="s">
        <v>31</v>
      </c>
      <c r="AC234" s="49" t="s">
        <v>989</v>
      </c>
      <c r="AD234" s="52">
        <v>1735</v>
      </c>
      <c r="AE234" s="52" t="s">
        <v>147</v>
      </c>
      <c r="AF234" s="56" t="s">
        <v>1447</v>
      </c>
      <c r="AG234" s="49" t="s">
        <v>1276</v>
      </c>
      <c r="AH234" s="49" t="s">
        <v>1361</v>
      </c>
      <c r="AJ234" s="32"/>
    </row>
    <row r="235" spans="1:36" s="12" customFormat="1" ht="14" customHeight="1" x14ac:dyDescent="0.2">
      <c r="A235" s="56" t="s">
        <v>985</v>
      </c>
      <c r="B235" s="54">
        <v>277</v>
      </c>
      <c r="C235" s="54">
        <v>285</v>
      </c>
      <c r="D235" s="55">
        <v>281</v>
      </c>
      <c r="E235" s="54">
        <v>60</v>
      </c>
      <c r="F235" s="54">
        <v>10.25</v>
      </c>
      <c r="G235" s="53">
        <v>3</v>
      </c>
      <c r="H235" s="54">
        <v>204</v>
      </c>
      <c r="I235" s="54">
        <v>-33</v>
      </c>
      <c r="J235" s="54">
        <v>85.7</v>
      </c>
      <c r="K235" s="54">
        <v>13.4</v>
      </c>
      <c r="L235" s="55">
        <v>-44.6</v>
      </c>
      <c r="M235" s="55">
        <v>337.4</v>
      </c>
      <c r="N235" s="52"/>
      <c r="O235" s="52"/>
      <c r="P235" s="54">
        <v>136.9363647773489</v>
      </c>
      <c r="Q235" s="54">
        <v>10.575658134994939</v>
      </c>
      <c r="R235" s="52">
        <v>301</v>
      </c>
      <c r="S235" s="55">
        <v>-35.372228749128901</v>
      </c>
      <c r="T235" s="55">
        <v>55.2254750123262</v>
      </c>
      <c r="U235" s="54">
        <v>46.041178267360799</v>
      </c>
      <c r="V235" s="54">
        <v>3.8904489598693401</v>
      </c>
      <c r="W235" s="54">
        <v>58.1952919941834</v>
      </c>
      <c r="X235" s="52" t="s">
        <v>1202</v>
      </c>
      <c r="Y235" s="56"/>
      <c r="Z235" s="56"/>
      <c r="AA235" s="52" t="b">
        <v>1</v>
      </c>
      <c r="AB235" s="52" t="s">
        <v>31</v>
      </c>
      <c r="AC235" s="49" t="s">
        <v>986</v>
      </c>
      <c r="AD235" s="59">
        <v>1830</v>
      </c>
      <c r="AE235" s="52" t="s">
        <v>147</v>
      </c>
      <c r="AF235" s="56" t="s">
        <v>987</v>
      </c>
      <c r="AG235" s="49"/>
      <c r="AH235" s="56"/>
      <c r="AJ235" s="32"/>
    </row>
    <row r="236" spans="1:36" s="12" customFormat="1" ht="14" customHeight="1" x14ac:dyDescent="0.2">
      <c r="A236" s="10" t="s">
        <v>990</v>
      </c>
      <c r="B236" s="9">
        <v>280</v>
      </c>
      <c r="C236" s="9">
        <v>285.20000000000005</v>
      </c>
      <c r="D236" s="13">
        <v>282.60000000000002</v>
      </c>
      <c r="E236" s="9">
        <v>37.200000000000003</v>
      </c>
      <c r="F236" s="9">
        <v>37.799999999999997</v>
      </c>
      <c r="G236" s="34">
        <v>19</v>
      </c>
      <c r="H236" s="9">
        <v>204.3</v>
      </c>
      <c r="I236" s="9">
        <v>-23.8</v>
      </c>
      <c r="J236" s="9">
        <v>27.7</v>
      </c>
      <c r="K236" s="9">
        <v>6.5</v>
      </c>
      <c r="L236" s="13">
        <v>-49.4</v>
      </c>
      <c r="M236" s="13">
        <v>359.7</v>
      </c>
      <c r="N236" s="7"/>
      <c r="O236" s="7"/>
      <c r="P236" s="9">
        <v>54.852093430526111</v>
      </c>
      <c r="Q236" s="9">
        <v>4.5722984687954131</v>
      </c>
      <c r="R236" s="7">
        <v>301</v>
      </c>
      <c r="S236" s="13">
        <v>-27.445408429925799</v>
      </c>
      <c r="T236" s="13">
        <v>71.389886230404898</v>
      </c>
      <c r="U236" s="9">
        <v>46.041178267360799</v>
      </c>
      <c r="V236" s="9">
        <v>3.8904489598693401</v>
      </c>
      <c r="W236" s="9">
        <v>58.1952919941834</v>
      </c>
      <c r="X236" s="7" t="s">
        <v>1202</v>
      </c>
      <c r="Y236" s="10"/>
      <c r="Z236" s="10"/>
      <c r="AA236" s="7" t="b">
        <v>1</v>
      </c>
      <c r="AB236" s="7">
        <v>0</v>
      </c>
      <c r="AC236" s="14" t="s">
        <v>769</v>
      </c>
      <c r="AD236" s="7"/>
      <c r="AE236" s="7" t="s">
        <v>147</v>
      </c>
      <c r="AF236" s="10" t="s">
        <v>991</v>
      </c>
      <c r="AG236" s="14"/>
      <c r="AH236" s="10"/>
      <c r="AJ236" s="32"/>
    </row>
    <row r="237" spans="1:36" s="17" customFormat="1" ht="14" customHeight="1" x14ac:dyDescent="0.2">
      <c r="A237" s="56" t="s">
        <v>998</v>
      </c>
      <c r="B237" s="54">
        <v>275</v>
      </c>
      <c r="C237" s="54">
        <v>291</v>
      </c>
      <c r="D237" s="55">
        <v>283</v>
      </c>
      <c r="E237" s="54">
        <v>58.6</v>
      </c>
      <c r="F237" s="54">
        <v>12.5</v>
      </c>
      <c r="G237" s="53">
        <v>2</v>
      </c>
      <c r="H237" s="54">
        <v>22</v>
      </c>
      <c r="I237" s="54">
        <v>17</v>
      </c>
      <c r="J237" s="54">
        <v>1573.6</v>
      </c>
      <c r="K237" s="54">
        <v>6.3</v>
      </c>
      <c r="L237" s="55">
        <v>-38</v>
      </c>
      <c r="M237" s="55">
        <v>346</v>
      </c>
      <c r="N237" s="54"/>
      <c r="O237" s="54"/>
      <c r="P237" s="54">
        <v>3492.9534712347127</v>
      </c>
      <c r="Q237" s="54">
        <v>4.2270035554073369</v>
      </c>
      <c r="R237" s="52">
        <v>301</v>
      </c>
      <c r="S237" s="55">
        <v>-26.163457056565299</v>
      </c>
      <c r="T237" s="55">
        <v>54.571810280347798</v>
      </c>
      <c r="U237" s="54">
        <v>46.041178267360799</v>
      </c>
      <c r="V237" s="54">
        <v>3.8904489598693401</v>
      </c>
      <c r="W237" s="54">
        <v>58.1952919941834</v>
      </c>
      <c r="X237" s="52" t="s">
        <v>1202</v>
      </c>
      <c r="Y237" s="56"/>
      <c r="Z237" s="56"/>
      <c r="AA237" s="52" t="b">
        <v>0</v>
      </c>
      <c r="AB237" s="52" t="s">
        <v>31</v>
      </c>
      <c r="AC237" s="49" t="s">
        <v>999</v>
      </c>
      <c r="AD237" s="52">
        <v>2211</v>
      </c>
      <c r="AE237" s="52" t="s">
        <v>147</v>
      </c>
      <c r="AF237" s="56" t="s">
        <v>1000</v>
      </c>
      <c r="AG237" s="49"/>
      <c r="AH237" s="56"/>
      <c r="AJ237" s="32"/>
    </row>
    <row r="238" spans="1:36" s="12" customFormat="1" ht="14" customHeight="1" x14ac:dyDescent="0.2">
      <c r="A238" s="49" t="s">
        <v>1001</v>
      </c>
      <c r="B238" s="54">
        <v>280</v>
      </c>
      <c r="C238" s="54">
        <v>291</v>
      </c>
      <c r="D238" s="55">
        <v>285.5</v>
      </c>
      <c r="E238" s="54">
        <v>51</v>
      </c>
      <c r="F238" s="54">
        <v>356</v>
      </c>
      <c r="G238" s="53">
        <v>5</v>
      </c>
      <c r="H238" s="54">
        <v>18</v>
      </c>
      <c r="I238" s="54">
        <v>25</v>
      </c>
      <c r="J238" s="54">
        <v>139.5</v>
      </c>
      <c r="K238" s="54">
        <v>6.5</v>
      </c>
      <c r="L238" s="55">
        <v>-50</v>
      </c>
      <c r="M238" s="55">
        <v>330</v>
      </c>
      <c r="N238" s="54"/>
      <c r="O238" s="54"/>
      <c r="P238" s="54">
        <v>269.66630413485586</v>
      </c>
      <c r="Q238" s="54">
        <v>4.6679031248796505</v>
      </c>
      <c r="R238" s="52">
        <v>301</v>
      </c>
      <c r="S238" s="55">
        <v>-42.594447955016498</v>
      </c>
      <c r="T238" s="55">
        <v>57.084712041173702</v>
      </c>
      <c r="U238" s="54">
        <v>46.041178267360799</v>
      </c>
      <c r="V238" s="54">
        <v>3.8904489598693401</v>
      </c>
      <c r="W238" s="54">
        <v>58.1952919941834</v>
      </c>
      <c r="X238" s="52" t="s">
        <v>1202</v>
      </c>
      <c r="Y238" s="56"/>
      <c r="Z238" s="56"/>
      <c r="AA238" s="52" t="b">
        <v>0</v>
      </c>
      <c r="AB238" s="52">
        <v>0</v>
      </c>
      <c r="AC238" s="49" t="s">
        <v>1002</v>
      </c>
      <c r="AD238" s="52">
        <v>165</v>
      </c>
      <c r="AE238" s="52" t="s">
        <v>147</v>
      </c>
      <c r="AF238" s="56" t="s">
        <v>1003</v>
      </c>
      <c r="AG238" s="49"/>
      <c r="AH238" s="56"/>
      <c r="AJ238" s="32"/>
    </row>
    <row r="239" spans="1:36" s="17" customFormat="1" ht="14" customHeight="1" x14ac:dyDescent="0.2">
      <c r="A239" s="14" t="s">
        <v>1001</v>
      </c>
      <c r="B239" s="9">
        <v>280</v>
      </c>
      <c r="C239" s="9">
        <v>291</v>
      </c>
      <c r="D239" s="13">
        <v>285.5</v>
      </c>
      <c r="E239" s="9">
        <v>51</v>
      </c>
      <c r="F239" s="9">
        <v>356</v>
      </c>
      <c r="G239" s="34">
        <v>9</v>
      </c>
      <c r="H239" s="9">
        <v>9</v>
      </c>
      <c r="I239" s="9">
        <v>19</v>
      </c>
      <c r="J239" s="9">
        <v>29</v>
      </c>
      <c r="K239" s="9">
        <v>10</v>
      </c>
      <c r="L239" s="13">
        <v>-48</v>
      </c>
      <c r="M239" s="13">
        <v>343</v>
      </c>
      <c r="N239" s="9"/>
      <c r="O239" s="9"/>
      <c r="P239" s="9">
        <v>62.492313566911712</v>
      </c>
      <c r="Q239" s="9">
        <v>6.5633772273595534</v>
      </c>
      <c r="R239" s="7">
        <v>301</v>
      </c>
      <c r="S239" s="13">
        <v>-34.527329786205897</v>
      </c>
      <c r="T239" s="13">
        <v>61.422345073460001</v>
      </c>
      <c r="U239" s="9">
        <v>46.041178267360799</v>
      </c>
      <c r="V239" s="9">
        <v>3.8904489598693401</v>
      </c>
      <c r="W239" s="9">
        <v>58.1952919941834</v>
      </c>
      <c r="X239" s="7" t="s">
        <v>1202</v>
      </c>
      <c r="Y239" s="10"/>
      <c r="Z239" s="10"/>
      <c r="AA239" s="7" t="b">
        <v>1</v>
      </c>
      <c r="AB239" s="7">
        <v>0</v>
      </c>
      <c r="AC239" s="14" t="s">
        <v>1004</v>
      </c>
      <c r="AD239" s="7">
        <v>411</v>
      </c>
      <c r="AE239" s="7" t="s">
        <v>147</v>
      </c>
      <c r="AF239" s="10" t="s">
        <v>1003</v>
      </c>
      <c r="AG239" s="14"/>
      <c r="AH239" s="10"/>
      <c r="AJ239" s="32"/>
    </row>
    <row r="240" spans="1:36" s="17" customFormat="1" ht="14" customHeight="1" x14ac:dyDescent="0.2">
      <c r="A240" s="49" t="s">
        <v>1017</v>
      </c>
      <c r="B240" s="54">
        <v>281</v>
      </c>
      <c r="C240" s="54">
        <v>291</v>
      </c>
      <c r="D240" s="55">
        <v>286</v>
      </c>
      <c r="E240" s="54">
        <v>48.5</v>
      </c>
      <c r="F240" s="54">
        <v>8</v>
      </c>
      <c r="G240" s="53">
        <v>2</v>
      </c>
      <c r="H240" s="54">
        <v>11</v>
      </c>
      <c r="I240" s="54">
        <v>3</v>
      </c>
      <c r="J240" s="54">
        <v>52429</v>
      </c>
      <c r="K240" s="54">
        <v>1</v>
      </c>
      <c r="L240" s="55">
        <v>-42</v>
      </c>
      <c r="M240" s="55">
        <v>353</v>
      </c>
      <c r="N240" s="54"/>
      <c r="O240" s="54"/>
      <c r="P240" s="54">
        <v>130588.27302488756</v>
      </c>
      <c r="Q240" s="54">
        <v>0.69111577797667922</v>
      </c>
      <c r="R240" s="52">
        <v>301</v>
      </c>
      <c r="S240" s="55">
        <v>-25.277371386555</v>
      </c>
      <c r="T240" s="55">
        <v>61.928761921426002</v>
      </c>
      <c r="U240" s="54">
        <v>46.041178267360799</v>
      </c>
      <c r="V240" s="54">
        <v>3.8904489598693401</v>
      </c>
      <c r="W240" s="54">
        <v>58.1952919941834</v>
      </c>
      <c r="X240" s="52" t="s">
        <v>1202</v>
      </c>
      <c r="Y240" s="56"/>
      <c r="Z240" s="56"/>
      <c r="AA240" s="52" t="b">
        <v>0</v>
      </c>
      <c r="AB240" s="52" t="s">
        <v>31</v>
      </c>
      <c r="AC240" s="49" t="s">
        <v>1018</v>
      </c>
      <c r="AD240" s="52">
        <v>2941</v>
      </c>
      <c r="AE240" s="52" t="s">
        <v>147</v>
      </c>
      <c r="AF240" s="56"/>
      <c r="AG240" s="49"/>
      <c r="AH240" s="56"/>
      <c r="AJ240" s="32"/>
    </row>
    <row r="241" spans="1:36" s="17" customFormat="1" ht="14" customHeight="1" x14ac:dyDescent="0.2">
      <c r="A241" s="14" t="s">
        <v>1013</v>
      </c>
      <c r="B241" s="9">
        <v>281</v>
      </c>
      <c r="C241" s="9">
        <v>291</v>
      </c>
      <c r="D241" s="13">
        <v>286</v>
      </c>
      <c r="E241" s="9">
        <v>48</v>
      </c>
      <c r="F241" s="9">
        <v>8</v>
      </c>
      <c r="G241" s="34">
        <v>7</v>
      </c>
      <c r="H241" s="9">
        <v>5.0999999999999996</v>
      </c>
      <c r="I241" s="9">
        <v>18.7</v>
      </c>
      <c r="J241" s="9">
        <v>37.9</v>
      </c>
      <c r="K241" s="9">
        <v>9.9</v>
      </c>
      <c r="L241" s="13">
        <v>-51.6</v>
      </c>
      <c r="M241" s="13">
        <v>359.6</v>
      </c>
      <c r="N241" s="9"/>
      <c r="O241" s="9"/>
      <c r="P241" s="9">
        <v>82.052052271116366</v>
      </c>
      <c r="Q241" s="9">
        <v>6.7032258893791612</v>
      </c>
      <c r="R241" s="7">
        <v>301</v>
      </c>
      <c r="S241" s="13">
        <v>-29.0860292959098</v>
      </c>
      <c r="T241" s="13">
        <v>73.055733868218596</v>
      </c>
      <c r="U241" s="9">
        <v>46.041178267360799</v>
      </c>
      <c r="V241" s="9">
        <v>3.8904489598693401</v>
      </c>
      <c r="W241" s="9">
        <v>58.1952919941834</v>
      </c>
      <c r="X241" s="7" t="s">
        <v>1202</v>
      </c>
      <c r="Y241" s="10"/>
      <c r="Z241" s="10"/>
      <c r="AA241" s="7" t="b">
        <v>1</v>
      </c>
      <c r="AB241" s="7">
        <v>0</v>
      </c>
      <c r="AC241" s="14" t="s">
        <v>1014</v>
      </c>
      <c r="AD241" s="7">
        <v>170</v>
      </c>
      <c r="AE241" s="7" t="s">
        <v>147</v>
      </c>
      <c r="AF241" s="10" t="s">
        <v>1016</v>
      </c>
      <c r="AG241" s="14" t="s">
        <v>1015</v>
      </c>
      <c r="AH241" s="10" t="s">
        <v>1269</v>
      </c>
      <c r="AJ241" s="32"/>
    </row>
    <row r="242" spans="1:36" s="12" customFormat="1" ht="14" customHeight="1" x14ac:dyDescent="0.2">
      <c r="A242" s="10" t="s">
        <v>1010</v>
      </c>
      <c r="B242" s="9">
        <v>279</v>
      </c>
      <c r="C242" s="9">
        <v>293</v>
      </c>
      <c r="D242" s="13">
        <v>286</v>
      </c>
      <c r="E242" s="9">
        <v>55.5</v>
      </c>
      <c r="F242" s="9">
        <v>-4.5999999999999996</v>
      </c>
      <c r="G242" s="34">
        <v>5</v>
      </c>
      <c r="H242" s="9">
        <v>191.6</v>
      </c>
      <c r="I242" s="9">
        <v>-24.1</v>
      </c>
      <c r="J242" s="9">
        <v>18.5</v>
      </c>
      <c r="K242" s="9">
        <v>18.2</v>
      </c>
      <c r="L242" s="13">
        <v>-46.2</v>
      </c>
      <c r="M242" s="13">
        <v>348</v>
      </c>
      <c r="N242" s="9"/>
      <c r="O242" s="9"/>
      <c r="P242" s="9">
        <v>36.418151143123708</v>
      </c>
      <c r="Q242" s="9">
        <v>12.848266984967383</v>
      </c>
      <c r="R242" s="7">
        <v>301</v>
      </c>
      <c r="S242" s="13">
        <v>-30.7801188222505</v>
      </c>
      <c r="T242" s="13">
        <v>62.468180628317903</v>
      </c>
      <c r="U242" s="9">
        <v>46.041178267360799</v>
      </c>
      <c r="V242" s="9">
        <v>3.8904489598693401</v>
      </c>
      <c r="W242" s="9">
        <v>58.1952919941834</v>
      </c>
      <c r="X242" s="7" t="s">
        <v>1202</v>
      </c>
      <c r="Y242" s="10"/>
      <c r="Z242" s="10"/>
      <c r="AA242" s="7" t="b">
        <v>1</v>
      </c>
      <c r="AB242" s="7">
        <v>0</v>
      </c>
      <c r="AC242" s="14" t="s">
        <v>1011</v>
      </c>
      <c r="AD242" s="7">
        <v>3093</v>
      </c>
      <c r="AE242" s="7" t="s">
        <v>147</v>
      </c>
      <c r="AF242" s="10" t="s">
        <v>1012</v>
      </c>
      <c r="AG242" s="14" t="s">
        <v>1270</v>
      </c>
      <c r="AH242" s="10"/>
      <c r="AJ242" s="32"/>
    </row>
    <row r="243" spans="1:36" s="12" customFormat="1" ht="14" customHeight="1" x14ac:dyDescent="0.2">
      <c r="A243" s="14" t="s">
        <v>1019</v>
      </c>
      <c r="B243" s="9">
        <v>282.8</v>
      </c>
      <c r="C243" s="9">
        <v>289.8</v>
      </c>
      <c r="D243" s="13">
        <v>286.3</v>
      </c>
      <c r="E243" s="9">
        <v>47.5</v>
      </c>
      <c r="F243" s="9">
        <v>80.7</v>
      </c>
      <c r="G243" s="34">
        <v>65</v>
      </c>
      <c r="H243" s="9">
        <v>243.1</v>
      </c>
      <c r="I243" s="9">
        <v>-57</v>
      </c>
      <c r="J243" s="9">
        <v>78.5</v>
      </c>
      <c r="K243" s="9">
        <v>2</v>
      </c>
      <c r="L243" s="13">
        <v>-33.200000000000003</v>
      </c>
      <c r="M243" s="13">
        <v>338.2</v>
      </c>
      <c r="N243" s="9">
        <v>48.8</v>
      </c>
      <c r="O243" s="9">
        <v>2.5</v>
      </c>
      <c r="P243" s="9" t="s">
        <v>1203</v>
      </c>
      <c r="Q243" s="9" t="s">
        <v>1203</v>
      </c>
      <c r="R243" s="7">
        <v>301</v>
      </c>
      <c r="S243" s="13">
        <v>-27.294238010483099</v>
      </c>
      <c r="T243" s="13">
        <v>45.7605912092178</v>
      </c>
      <c r="U243" s="9">
        <v>46.041178267360799</v>
      </c>
      <c r="V243" s="9">
        <v>3.8904489598693401</v>
      </c>
      <c r="W243" s="9">
        <v>58.1952919941834</v>
      </c>
      <c r="X243" s="7" t="s">
        <v>1202</v>
      </c>
      <c r="Y243" s="7"/>
      <c r="Z243" s="7"/>
      <c r="AA243" s="7" t="b">
        <v>1</v>
      </c>
      <c r="AB243" s="7">
        <v>0</v>
      </c>
      <c r="AC243" s="14" t="s">
        <v>1020</v>
      </c>
      <c r="AD243" s="7"/>
      <c r="AE243" s="7" t="s">
        <v>1369</v>
      </c>
      <c r="AF243" s="10" t="s">
        <v>1021</v>
      </c>
      <c r="AG243" s="14"/>
      <c r="AH243" s="10"/>
      <c r="AJ243" s="32"/>
    </row>
    <row r="244" spans="1:36" s="12" customFormat="1" ht="14" customHeight="1" x14ac:dyDescent="0.2">
      <c r="A244" s="49" t="s">
        <v>1044</v>
      </c>
      <c r="B244" s="52">
        <v>274.39999999999998</v>
      </c>
      <c r="C244" s="52">
        <v>298.89999999999998</v>
      </c>
      <c r="D244" s="55">
        <f>(B244+C244)/2</f>
        <v>286.64999999999998</v>
      </c>
      <c r="E244" s="54">
        <v>50</v>
      </c>
      <c r="F244" s="54">
        <v>20</v>
      </c>
      <c r="G244" s="53">
        <v>6</v>
      </c>
      <c r="H244" s="54">
        <v>22.5</v>
      </c>
      <c r="I244" s="54">
        <v>25.1</v>
      </c>
      <c r="J244" s="54">
        <v>92.5</v>
      </c>
      <c r="K244" s="54">
        <v>7</v>
      </c>
      <c r="L244" s="55">
        <v>-48.8</v>
      </c>
      <c r="M244" s="55">
        <v>345.5</v>
      </c>
      <c r="N244" s="54"/>
      <c r="O244" s="54"/>
      <c r="P244" s="54">
        <v>178.44294390857362</v>
      </c>
      <c r="Q244" s="54">
        <v>5.0293226209230202</v>
      </c>
      <c r="R244" s="52">
        <v>301</v>
      </c>
      <c r="S244" s="55">
        <v>-33.766938772000302</v>
      </c>
      <c r="T244" s="55">
        <v>63.450200077350402</v>
      </c>
      <c r="U244" s="54">
        <v>46.041178267360799</v>
      </c>
      <c r="V244" s="54">
        <v>3.8904489598693401</v>
      </c>
      <c r="W244" s="54">
        <v>58.1952919941834</v>
      </c>
      <c r="X244" s="52" t="s">
        <v>1202</v>
      </c>
      <c r="Y244" s="56"/>
      <c r="Z244" s="56"/>
      <c r="AA244" s="52" t="b">
        <v>0</v>
      </c>
      <c r="AB244" s="52" t="s">
        <v>31</v>
      </c>
      <c r="AC244" s="49" t="s">
        <v>1045</v>
      </c>
      <c r="AD244" s="52">
        <v>275</v>
      </c>
      <c r="AE244" s="52" t="s">
        <v>147</v>
      </c>
      <c r="AF244" s="56" t="s">
        <v>1032</v>
      </c>
      <c r="AG244" s="49" t="s">
        <v>1046</v>
      </c>
      <c r="AH244" s="49" t="s">
        <v>1361</v>
      </c>
      <c r="AJ244" s="32"/>
    </row>
    <row r="245" spans="1:36" s="12" customFormat="1" ht="14" customHeight="1" x14ac:dyDescent="0.2">
      <c r="A245" s="56" t="s">
        <v>1033</v>
      </c>
      <c r="B245" s="52">
        <v>274.39999999999998</v>
      </c>
      <c r="C245" s="52">
        <v>298.89999999999998</v>
      </c>
      <c r="D245" s="55">
        <f>(B245+C245)/2</f>
        <v>286.64999999999998</v>
      </c>
      <c r="E245" s="52">
        <v>47.3</v>
      </c>
      <c r="F245" s="52">
        <v>5.6</v>
      </c>
      <c r="G245" s="58">
        <v>7</v>
      </c>
      <c r="H245" s="52">
        <v>-170.1</v>
      </c>
      <c r="I245" s="52">
        <v>1.3</v>
      </c>
      <c r="J245" s="52">
        <v>41.3</v>
      </c>
      <c r="K245" s="54">
        <v>5.9</v>
      </c>
      <c r="L245" s="55">
        <v>-41.3</v>
      </c>
      <c r="M245" s="55">
        <v>352.4</v>
      </c>
      <c r="N245" s="54">
        <v>123.3</v>
      </c>
      <c r="O245" s="54">
        <v>4.8</v>
      </c>
      <c r="P245" s="54" t="s">
        <v>1203</v>
      </c>
      <c r="Q245" s="54" t="s">
        <v>1203</v>
      </c>
      <c r="R245" s="52">
        <v>301</v>
      </c>
      <c r="S245" s="55">
        <v>-25.080200804341501</v>
      </c>
      <c r="T245" s="55">
        <v>61.036438848871001</v>
      </c>
      <c r="U245" s="54">
        <v>46.041178267360799</v>
      </c>
      <c r="V245" s="54">
        <v>3.8904489598693401</v>
      </c>
      <c r="W245" s="54">
        <v>58.1952919941834</v>
      </c>
      <c r="X245" s="52" t="s">
        <v>1202</v>
      </c>
      <c r="Y245" s="56"/>
      <c r="Z245" s="56"/>
      <c r="AA245" s="52" t="b">
        <v>0</v>
      </c>
      <c r="AB245" s="52" t="s">
        <v>31</v>
      </c>
      <c r="AC245" s="49" t="s">
        <v>1034</v>
      </c>
      <c r="AD245" s="52">
        <v>1205</v>
      </c>
      <c r="AE245" s="52" t="s">
        <v>147</v>
      </c>
      <c r="AF245" s="56" t="s">
        <v>1035</v>
      </c>
      <c r="AG245" s="49" t="s">
        <v>1278</v>
      </c>
      <c r="AH245" s="49" t="s">
        <v>1361</v>
      </c>
      <c r="AJ245" s="32"/>
    </row>
    <row r="246" spans="1:36" s="12" customFormat="1" ht="14" customHeight="1" x14ac:dyDescent="0.2">
      <c r="A246" s="49" t="s">
        <v>1041</v>
      </c>
      <c r="B246" s="52">
        <v>274.39999999999998</v>
      </c>
      <c r="C246" s="52">
        <v>298.89999999999998</v>
      </c>
      <c r="D246" s="55">
        <f>(B246+C246)/2</f>
        <v>286.64999999999998</v>
      </c>
      <c r="E246" s="54">
        <v>51.3</v>
      </c>
      <c r="F246" s="54">
        <v>15.8</v>
      </c>
      <c r="G246" s="53">
        <v>6</v>
      </c>
      <c r="H246" s="54">
        <v>16</v>
      </c>
      <c r="I246" s="54">
        <v>11</v>
      </c>
      <c r="J246" s="54">
        <v>64.599999999999994</v>
      </c>
      <c r="K246" s="54">
        <v>8.1</v>
      </c>
      <c r="L246" s="55">
        <v>-42</v>
      </c>
      <c r="M246" s="55">
        <v>354</v>
      </c>
      <c r="N246" s="54"/>
      <c r="O246" s="54"/>
      <c r="P246" s="54">
        <v>153.65846412934269</v>
      </c>
      <c r="Q246" s="54">
        <v>5.4221055833136491</v>
      </c>
      <c r="R246" s="52">
        <v>301</v>
      </c>
      <c r="S246" s="55">
        <v>-24.766554225345999</v>
      </c>
      <c r="T246" s="55">
        <v>62.5244139902005</v>
      </c>
      <c r="U246" s="54">
        <v>46.041178267360799</v>
      </c>
      <c r="V246" s="54">
        <v>3.8904489598693401</v>
      </c>
      <c r="W246" s="54">
        <v>58.1952919941834</v>
      </c>
      <c r="X246" s="52" t="s">
        <v>1202</v>
      </c>
      <c r="Y246" s="56"/>
      <c r="Z246" s="56"/>
      <c r="AA246" s="52" t="b">
        <v>0</v>
      </c>
      <c r="AB246" s="52" t="s">
        <v>31</v>
      </c>
      <c r="AC246" s="49" t="s">
        <v>894</v>
      </c>
      <c r="AD246" s="52">
        <v>3161</v>
      </c>
      <c r="AE246" s="52" t="s">
        <v>147</v>
      </c>
      <c r="AF246" s="56" t="s">
        <v>1032</v>
      </c>
      <c r="AG246" s="49"/>
      <c r="AH246" s="49" t="s">
        <v>1361</v>
      </c>
      <c r="AJ246" s="32"/>
    </row>
    <row r="247" spans="1:36" s="12" customFormat="1" ht="14" customHeight="1" x14ac:dyDescent="0.2">
      <c r="A247" s="49" t="s">
        <v>1036</v>
      </c>
      <c r="B247" s="52">
        <v>274.39999999999998</v>
      </c>
      <c r="C247" s="54">
        <v>298.89999999999998</v>
      </c>
      <c r="D247" s="55">
        <f>(B247+C247)/2</f>
        <v>286.64999999999998</v>
      </c>
      <c r="E247" s="54">
        <v>50.5</v>
      </c>
      <c r="F247" s="54">
        <v>16.5</v>
      </c>
      <c r="G247" s="53">
        <v>13</v>
      </c>
      <c r="H247" s="54">
        <v>18</v>
      </c>
      <c r="I247" s="54">
        <v>12</v>
      </c>
      <c r="J247" s="54">
        <v>168.8</v>
      </c>
      <c r="K247" s="54">
        <v>3.2</v>
      </c>
      <c r="L247" s="55">
        <v>-43</v>
      </c>
      <c r="M247" s="55">
        <v>352</v>
      </c>
      <c r="N247" s="54"/>
      <c r="O247" s="54"/>
      <c r="P247" s="54">
        <v>397.72827017477334</v>
      </c>
      <c r="Q247" s="54">
        <v>2.0812345891305095</v>
      </c>
      <c r="R247" s="52">
        <v>301</v>
      </c>
      <c r="S247" s="55">
        <v>-26.508824733629702</v>
      </c>
      <c r="T247" s="55">
        <v>62.111575608471398</v>
      </c>
      <c r="U247" s="54">
        <v>46.041178267360799</v>
      </c>
      <c r="V247" s="54">
        <v>3.8904489598693401</v>
      </c>
      <c r="W247" s="54">
        <v>58.1952919941834</v>
      </c>
      <c r="X247" s="52" t="s">
        <v>1202</v>
      </c>
      <c r="Y247" s="56"/>
      <c r="Z247" s="56"/>
      <c r="AA247" s="52" t="b">
        <v>0</v>
      </c>
      <c r="AB247" s="52" t="s">
        <v>31</v>
      </c>
      <c r="AC247" s="49" t="s">
        <v>894</v>
      </c>
      <c r="AD247" s="52">
        <v>3161</v>
      </c>
      <c r="AE247" s="52" t="s">
        <v>147</v>
      </c>
      <c r="AF247" s="56" t="s">
        <v>1032</v>
      </c>
      <c r="AG247" s="49"/>
      <c r="AH247" s="49" t="s">
        <v>1361</v>
      </c>
      <c r="AJ247" s="32"/>
    </row>
    <row r="248" spans="1:36" s="12" customFormat="1" ht="14" customHeight="1" x14ac:dyDescent="0.2">
      <c r="A248" s="56" t="s">
        <v>1047</v>
      </c>
      <c r="B248" s="52">
        <v>274.39999999999998</v>
      </c>
      <c r="C248" s="52">
        <v>298.89999999999998</v>
      </c>
      <c r="D248" s="55">
        <f>(B248+C248)/2</f>
        <v>286.64999999999998</v>
      </c>
      <c r="E248" s="54">
        <v>49.9</v>
      </c>
      <c r="F248" s="54">
        <v>15.6</v>
      </c>
      <c r="G248" s="53">
        <v>6</v>
      </c>
      <c r="H248" s="54">
        <v>203.4</v>
      </c>
      <c r="I248" s="54">
        <v>-8.8000000000000007</v>
      </c>
      <c r="J248" s="54">
        <v>238.3</v>
      </c>
      <c r="K248" s="54">
        <v>4.3</v>
      </c>
      <c r="L248" s="55">
        <v>-40.5</v>
      </c>
      <c r="M248" s="55">
        <v>344.3</v>
      </c>
      <c r="N248" s="54"/>
      <c r="O248" s="54"/>
      <c r="P248" s="54">
        <v>577.07335726849396</v>
      </c>
      <c r="Q248" s="54">
        <v>2.7915443820991581</v>
      </c>
      <c r="R248" s="52">
        <v>301</v>
      </c>
      <c r="S248" s="55">
        <v>-28.851594391450998</v>
      </c>
      <c r="T248" s="55">
        <v>55.552364792562599</v>
      </c>
      <c r="U248" s="54">
        <v>46.041178267360799</v>
      </c>
      <c r="V248" s="54">
        <v>3.8904489598693401</v>
      </c>
      <c r="W248" s="54">
        <v>58.1952919941834</v>
      </c>
      <c r="X248" s="52" t="s">
        <v>1204</v>
      </c>
      <c r="Y248" s="56"/>
      <c r="Z248" s="56"/>
      <c r="AA248" s="52" t="b">
        <v>0</v>
      </c>
      <c r="AB248" s="52" t="s">
        <v>165</v>
      </c>
      <c r="AC248" s="49" t="s">
        <v>1048</v>
      </c>
      <c r="AD248" s="52">
        <v>167</v>
      </c>
      <c r="AE248" s="52" t="s">
        <v>147</v>
      </c>
      <c r="AF248" s="56" t="s">
        <v>1032</v>
      </c>
      <c r="AG248" s="49"/>
      <c r="AH248" s="49" t="s">
        <v>1361</v>
      </c>
      <c r="AJ248" s="32"/>
    </row>
    <row r="249" spans="1:36" s="12" customFormat="1" ht="14" customHeight="1" x14ac:dyDescent="0.2">
      <c r="A249" s="56" t="s">
        <v>1038</v>
      </c>
      <c r="B249" s="52">
        <v>274.39999999999998</v>
      </c>
      <c r="C249" s="52">
        <v>298.89999999999998</v>
      </c>
      <c r="D249" s="55">
        <f>(B249+C249)/2</f>
        <v>286.64999999999998</v>
      </c>
      <c r="E249" s="54">
        <v>50.573999999999998</v>
      </c>
      <c r="F249" s="54">
        <v>15.398</v>
      </c>
      <c r="G249" s="58">
        <v>10</v>
      </c>
      <c r="H249" s="52">
        <v>197.5</v>
      </c>
      <c r="I249" s="54">
        <v>-6</v>
      </c>
      <c r="J249" s="52">
        <v>96.5</v>
      </c>
      <c r="K249" s="54">
        <v>4.9000000000000004</v>
      </c>
      <c r="L249" s="55">
        <v>-40.200000000000003</v>
      </c>
      <c r="M249" s="55">
        <v>352.3</v>
      </c>
      <c r="N249" s="54"/>
      <c r="O249" s="54"/>
      <c r="P249" s="54">
        <v>237.70443374782943</v>
      </c>
      <c r="Q249" s="54">
        <v>3.1397119477194688</v>
      </c>
      <c r="R249" s="52">
        <v>301</v>
      </c>
      <c r="S249" s="55">
        <v>-24.3343608602427</v>
      </c>
      <c r="T249" s="55">
        <v>60.142522309167603</v>
      </c>
      <c r="U249" s="54">
        <v>46.041178267360799</v>
      </c>
      <c r="V249" s="54">
        <v>3.8904489598693401</v>
      </c>
      <c r="W249" s="54">
        <v>58.1952919941834</v>
      </c>
      <c r="X249" s="52" t="s">
        <v>1204</v>
      </c>
      <c r="Y249" s="56"/>
      <c r="Z249" s="56"/>
      <c r="AA249" s="52" t="b">
        <v>0</v>
      </c>
      <c r="AB249" s="52" t="s">
        <v>165</v>
      </c>
      <c r="AC249" s="49" t="s">
        <v>1039</v>
      </c>
      <c r="AD249" s="52">
        <v>2444</v>
      </c>
      <c r="AE249" s="52" t="s">
        <v>147</v>
      </c>
      <c r="AF249" s="56" t="s">
        <v>1040</v>
      </c>
      <c r="AG249" s="49" t="s">
        <v>1407</v>
      </c>
      <c r="AH249" s="49" t="s">
        <v>1361</v>
      </c>
      <c r="AJ249" s="32"/>
    </row>
    <row r="250" spans="1:36" s="12" customFormat="1" ht="14" customHeight="1" x14ac:dyDescent="0.2">
      <c r="A250" s="56" t="s">
        <v>1042</v>
      </c>
      <c r="B250" s="52">
        <v>274.39999999999998</v>
      </c>
      <c r="C250" s="52">
        <v>298.89999999999998</v>
      </c>
      <c r="D250" s="55">
        <f>(B250+C250)/2</f>
        <v>286.64999999999998</v>
      </c>
      <c r="E250" s="54">
        <v>50.5</v>
      </c>
      <c r="F250" s="54">
        <v>16.5</v>
      </c>
      <c r="G250" s="53">
        <v>6</v>
      </c>
      <c r="H250" s="54">
        <v>28</v>
      </c>
      <c r="I250" s="54">
        <v>6</v>
      </c>
      <c r="J250" s="54">
        <v>99.1</v>
      </c>
      <c r="K250" s="54">
        <v>6.8</v>
      </c>
      <c r="L250" s="55">
        <v>-37</v>
      </c>
      <c r="M250" s="55">
        <v>340</v>
      </c>
      <c r="N250" s="54"/>
      <c r="O250" s="54"/>
      <c r="P250" s="54">
        <v>244.10890553792638</v>
      </c>
      <c r="Q250" s="54">
        <v>4.2969056603535449</v>
      </c>
      <c r="R250" s="52">
        <v>301</v>
      </c>
      <c r="S250" s="55">
        <v>-28.874664486427601</v>
      </c>
      <c r="T250" s="55">
        <v>50.018550159237698</v>
      </c>
      <c r="U250" s="54">
        <v>46.041178267360799</v>
      </c>
      <c r="V250" s="54">
        <v>3.8904489598693401</v>
      </c>
      <c r="W250" s="54">
        <v>58.1952919941834</v>
      </c>
      <c r="X250" s="52" t="s">
        <v>1204</v>
      </c>
      <c r="Y250" s="56"/>
      <c r="Z250" s="56"/>
      <c r="AA250" s="52" t="b">
        <v>0</v>
      </c>
      <c r="AB250" s="52" t="s">
        <v>165</v>
      </c>
      <c r="AC250" s="49" t="s">
        <v>894</v>
      </c>
      <c r="AD250" s="52">
        <v>3161</v>
      </c>
      <c r="AE250" s="52" t="s">
        <v>147</v>
      </c>
      <c r="AF250" s="56" t="s">
        <v>1032</v>
      </c>
      <c r="AG250" s="49" t="s">
        <v>1043</v>
      </c>
      <c r="AH250" s="49" t="s">
        <v>1361</v>
      </c>
      <c r="AJ250" s="32"/>
    </row>
    <row r="251" spans="1:36" s="12" customFormat="1" ht="13" x14ac:dyDescent="0.2">
      <c r="A251" s="56" t="s">
        <v>1049</v>
      </c>
      <c r="B251" s="52">
        <v>274.39999999999998</v>
      </c>
      <c r="C251" s="52">
        <v>298.89999999999998</v>
      </c>
      <c r="D251" s="55">
        <f>(B251+C251)/2</f>
        <v>286.64999999999998</v>
      </c>
      <c r="E251" s="54">
        <v>50.6</v>
      </c>
      <c r="F251" s="54">
        <v>16.100000000000001</v>
      </c>
      <c r="G251" s="53">
        <v>11</v>
      </c>
      <c r="H251" s="54"/>
      <c r="I251" s="54"/>
      <c r="J251" s="54">
        <v>12.9</v>
      </c>
      <c r="K251" s="54">
        <v>13.2</v>
      </c>
      <c r="L251" s="55">
        <v>-40</v>
      </c>
      <c r="M251" s="55">
        <v>352</v>
      </c>
      <c r="N251" s="54"/>
      <c r="O251" s="54"/>
      <c r="P251" s="54">
        <v>32.25</v>
      </c>
      <c r="Q251" s="54">
        <v>8.1628436081086289</v>
      </c>
      <c r="R251" s="52">
        <v>301</v>
      </c>
      <c r="S251" s="55">
        <v>-24.346554301975399</v>
      </c>
      <c r="T251" s="55">
        <v>59.808693587483702</v>
      </c>
      <c r="U251" s="54">
        <v>46.041178267360799</v>
      </c>
      <c r="V251" s="54">
        <v>3.8904489598693401</v>
      </c>
      <c r="W251" s="54">
        <v>58.1952919941834</v>
      </c>
      <c r="X251" s="52" t="s">
        <v>1202</v>
      </c>
      <c r="Y251" s="56"/>
      <c r="Z251" s="56"/>
      <c r="AA251" s="52" t="b">
        <v>1</v>
      </c>
      <c r="AB251" s="52" t="s">
        <v>31</v>
      </c>
      <c r="AC251" s="49" t="s">
        <v>1050</v>
      </c>
      <c r="AD251" s="52">
        <v>465</v>
      </c>
      <c r="AE251" s="52" t="s">
        <v>147</v>
      </c>
      <c r="AF251" s="56" t="s">
        <v>1040</v>
      </c>
      <c r="AG251" s="49" t="s">
        <v>1449</v>
      </c>
      <c r="AH251" s="49" t="s">
        <v>1361</v>
      </c>
      <c r="AJ251" s="32"/>
    </row>
    <row r="252" spans="1:36" s="12" customFormat="1" ht="14" customHeight="1" x14ac:dyDescent="0.2">
      <c r="A252" s="56" t="s">
        <v>1037</v>
      </c>
      <c r="B252" s="52">
        <v>274.39999999999998</v>
      </c>
      <c r="C252" s="54">
        <v>298.89999999999998</v>
      </c>
      <c r="D252" s="55">
        <f>(B252+C252)/2</f>
        <v>286.64999999999998</v>
      </c>
      <c r="E252" s="54">
        <v>51.3</v>
      </c>
      <c r="F252" s="54">
        <v>15.8</v>
      </c>
      <c r="G252" s="53">
        <v>29</v>
      </c>
      <c r="H252" s="54">
        <v>8</v>
      </c>
      <c r="I252" s="54">
        <v>12</v>
      </c>
      <c r="J252" s="54">
        <v>28.2</v>
      </c>
      <c r="K252" s="54">
        <v>5.0999999999999996</v>
      </c>
      <c r="L252" s="55">
        <v>-44</v>
      </c>
      <c r="M252" s="55">
        <v>4</v>
      </c>
      <c r="N252" s="54"/>
      <c r="O252" s="54"/>
      <c r="P252" s="54">
        <v>66.445125704553362</v>
      </c>
      <c r="Q252" s="54">
        <v>3.3068711461131342</v>
      </c>
      <c r="R252" s="52">
        <v>301</v>
      </c>
      <c r="S252" s="55">
        <v>-21.440597378857198</v>
      </c>
      <c r="T252" s="55">
        <v>69.927981980604997</v>
      </c>
      <c r="U252" s="54">
        <v>46.041178267360799</v>
      </c>
      <c r="V252" s="54">
        <v>3.8904489598693401</v>
      </c>
      <c r="W252" s="54">
        <v>58.1952919941834</v>
      </c>
      <c r="X252" s="52" t="s">
        <v>1204</v>
      </c>
      <c r="Y252" s="56"/>
      <c r="Z252" s="56"/>
      <c r="AA252" s="52" t="b">
        <v>1</v>
      </c>
      <c r="AB252" s="52" t="s">
        <v>165</v>
      </c>
      <c r="AC252" s="49" t="s">
        <v>894</v>
      </c>
      <c r="AD252" s="52">
        <v>3161</v>
      </c>
      <c r="AE252" s="52" t="s">
        <v>147</v>
      </c>
      <c r="AF252" s="56" t="s">
        <v>1032</v>
      </c>
      <c r="AG252" s="49"/>
      <c r="AH252" s="49" t="s">
        <v>1361</v>
      </c>
      <c r="AJ252" s="32"/>
    </row>
    <row r="253" spans="1:36" s="17" customFormat="1" ht="14" customHeight="1" x14ac:dyDescent="0.2">
      <c r="A253" s="49" t="s">
        <v>1051</v>
      </c>
      <c r="B253" s="54">
        <v>274</v>
      </c>
      <c r="C253" s="54">
        <v>300</v>
      </c>
      <c r="D253" s="55">
        <v>287</v>
      </c>
      <c r="E253" s="54">
        <v>50.7</v>
      </c>
      <c r="F253" s="54">
        <v>10.9</v>
      </c>
      <c r="G253" s="53">
        <v>8</v>
      </c>
      <c r="H253" s="54">
        <v>199.3</v>
      </c>
      <c r="I253" s="54">
        <v>-19.100000000000001</v>
      </c>
      <c r="J253" s="54">
        <v>92.2</v>
      </c>
      <c r="K253" s="54">
        <v>5.8</v>
      </c>
      <c r="L253" s="55">
        <v>-41.5</v>
      </c>
      <c r="M253" s="55">
        <v>339.9</v>
      </c>
      <c r="N253" s="54"/>
      <c r="O253" s="54"/>
      <c r="P253" s="54">
        <v>198.3711457048143</v>
      </c>
      <c r="Q253" s="54">
        <v>3.9424886916374162</v>
      </c>
      <c r="R253" s="52">
        <v>301</v>
      </c>
      <c r="S253" s="55">
        <v>-31.9743280294512</v>
      </c>
      <c r="T253" s="55">
        <v>53.803905063494398</v>
      </c>
      <c r="U253" s="54">
        <v>46.041178267360799</v>
      </c>
      <c r="V253" s="54">
        <v>3.8904489598693401</v>
      </c>
      <c r="W253" s="54">
        <v>58.1952919941834</v>
      </c>
      <c r="X253" s="52" t="s">
        <v>1204</v>
      </c>
      <c r="Y253" s="56"/>
      <c r="Z253" s="56"/>
      <c r="AA253" s="52" t="b">
        <v>0</v>
      </c>
      <c r="AB253" s="52" t="s">
        <v>165</v>
      </c>
      <c r="AC253" s="49" t="s">
        <v>1052</v>
      </c>
      <c r="AD253" s="52">
        <v>1792</v>
      </c>
      <c r="AE253" s="52" t="s">
        <v>147</v>
      </c>
      <c r="AF253" s="56" t="s">
        <v>1450</v>
      </c>
      <c r="AG253" s="49" t="s">
        <v>1409</v>
      </c>
      <c r="AH253" s="56"/>
      <c r="AJ253" s="32"/>
    </row>
    <row r="254" spans="1:36" s="12" customFormat="1" ht="14" customHeight="1" x14ac:dyDescent="0.2">
      <c r="A254" s="14" t="s">
        <v>1053</v>
      </c>
      <c r="B254" s="9">
        <v>283.8</v>
      </c>
      <c r="C254" s="9">
        <v>290.8</v>
      </c>
      <c r="D254" s="13">
        <v>287.3</v>
      </c>
      <c r="E254" s="9">
        <v>47.5</v>
      </c>
      <c r="F254" s="9">
        <v>80.7</v>
      </c>
      <c r="G254" s="34">
        <v>88</v>
      </c>
      <c r="H254" s="9">
        <v>242</v>
      </c>
      <c r="I254" s="9">
        <v>-56.2</v>
      </c>
      <c r="J254" s="9">
        <v>71.5</v>
      </c>
      <c r="K254" s="9">
        <v>1.8</v>
      </c>
      <c r="L254" s="13">
        <v>-44.1</v>
      </c>
      <c r="M254" s="13">
        <v>340.6</v>
      </c>
      <c r="N254" s="9">
        <v>48</v>
      </c>
      <c r="O254" s="9">
        <v>2.2000000000000002</v>
      </c>
      <c r="P254" s="9" t="s">
        <v>1203</v>
      </c>
      <c r="Q254" s="9" t="s">
        <v>1203</v>
      </c>
      <c r="R254" s="7">
        <v>301</v>
      </c>
      <c r="S254" s="13">
        <v>-33.293919202405199</v>
      </c>
      <c r="T254" s="13">
        <v>56.5332946741784</v>
      </c>
      <c r="U254" s="9">
        <v>46.041178267360799</v>
      </c>
      <c r="V254" s="9">
        <v>3.8904489598693401</v>
      </c>
      <c r="W254" s="9">
        <v>58.1952919941834</v>
      </c>
      <c r="X254" s="7" t="s">
        <v>1202</v>
      </c>
      <c r="Y254" s="7"/>
      <c r="Z254" s="7"/>
      <c r="AA254" s="7" t="b">
        <v>1</v>
      </c>
      <c r="AB254" s="7">
        <v>0</v>
      </c>
      <c r="AC254" s="14" t="s">
        <v>1054</v>
      </c>
      <c r="AD254" s="7"/>
      <c r="AE254" s="7" t="s">
        <v>1369</v>
      </c>
      <c r="AF254" s="10" t="s">
        <v>1055</v>
      </c>
      <c r="AG254" s="14" t="s">
        <v>1451</v>
      </c>
      <c r="AH254" s="10"/>
      <c r="AJ254" s="32"/>
    </row>
    <row r="255" spans="1:36" s="17" customFormat="1" ht="14" customHeight="1" x14ac:dyDescent="0.2">
      <c r="A255" s="14" t="s">
        <v>1056</v>
      </c>
      <c r="B255" s="9">
        <v>284</v>
      </c>
      <c r="C255" s="9">
        <v>292</v>
      </c>
      <c r="D255" s="13">
        <v>288</v>
      </c>
      <c r="E255" s="9">
        <v>59.4</v>
      </c>
      <c r="F255" s="9">
        <v>10.199999999999999</v>
      </c>
      <c r="G255" s="34">
        <v>104</v>
      </c>
      <c r="H255" s="9">
        <v>204</v>
      </c>
      <c r="I255" s="9">
        <v>-37.9</v>
      </c>
      <c r="J255" s="9">
        <v>46.9</v>
      </c>
      <c r="K255" s="9">
        <v>2</v>
      </c>
      <c r="L255" s="13">
        <v>-48.2</v>
      </c>
      <c r="M255" s="13">
        <v>335.5</v>
      </c>
      <c r="N255" s="9">
        <v>52.2</v>
      </c>
      <c r="O255" s="9">
        <v>1.9</v>
      </c>
      <c r="P255" s="9" t="s">
        <v>1203</v>
      </c>
      <c r="Q255" s="9" t="s">
        <v>1203</v>
      </c>
      <c r="R255" s="7">
        <v>301</v>
      </c>
      <c r="S255" s="13">
        <v>-38.606359891615</v>
      </c>
      <c r="T255" s="13">
        <v>57.796717000596402</v>
      </c>
      <c r="U255" s="9">
        <v>46.041178267360799</v>
      </c>
      <c r="V255" s="9">
        <v>3.8904489598693401</v>
      </c>
      <c r="W255" s="9">
        <v>58.1952919941834</v>
      </c>
      <c r="X255" s="7" t="s">
        <v>1202</v>
      </c>
      <c r="Y255" s="7"/>
      <c r="Z255" s="7"/>
      <c r="AA255" s="7" t="b">
        <v>1</v>
      </c>
      <c r="AB255" s="7">
        <v>0</v>
      </c>
      <c r="AC255" s="14" t="s">
        <v>1057</v>
      </c>
      <c r="AD255" s="7"/>
      <c r="AE255" s="7" t="s">
        <v>1369</v>
      </c>
      <c r="AF255" s="10" t="s">
        <v>1059</v>
      </c>
      <c r="AG255" s="14" t="s">
        <v>1058</v>
      </c>
      <c r="AH255" s="10"/>
      <c r="AJ255" s="32"/>
    </row>
    <row r="256" spans="1:36" s="12" customFormat="1" ht="14" customHeight="1" x14ac:dyDescent="0.2">
      <c r="A256" s="14" t="s">
        <v>949</v>
      </c>
      <c r="B256" s="9">
        <v>283.3</v>
      </c>
      <c r="C256" s="9">
        <v>293.5</v>
      </c>
      <c r="D256" s="13">
        <f>AVERAGE(B256,C256)</f>
        <v>288.39999999999998</v>
      </c>
      <c r="E256" s="9">
        <v>43.69</v>
      </c>
      <c r="F256" s="9">
        <v>3.35</v>
      </c>
      <c r="G256" s="34">
        <v>143</v>
      </c>
      <c r="H256" s="9">
        <v>199.6</v>
      </c>
      <c r="I256" s="9">
        <v>-8.9</v>
      </c>
      <c r="J256" s="9">
        <v>40.6</v>
      </c>
      <c r="K256" s="9">
        <v>1.9</v>
      </c>
      <c r="L256" s="13">
        <v>-47.14</v>
      </c>
      <c r="M256" s="13">
        <v>333.9</v>
      </c>
      <c r="N256" s="9"/>
      <c r="O256" s="9"/>
      <c r="P256" s="9">
        <v>98.246432171100068</v>
      </c>
      <c r="Q256" s="9">
        <v>1.1955592650972084</v>
      </c>
      <c r="R256" s="7">
        <v>301</v>
      </c>
      <c r="S256" s="13">
        <v>-38.852051592230602</v>
      </c>
      <c r="T256" s="13">
        <v>55.885053474503103</v>
      </c>
      <c r="U256" s="9">
        <v>46.041178267360799</v>
      </c>
      <c r="V256" s="9">
        <v>3.8904489598693401</v>
      </c>
      <c r="W256" s="9">
        <v>58.1952919941834</v>
      </c>
      <c r="X256" s="7" t="s">
        <v>1204</v>
      </c>
      <c r="Y256" s="7">
        <v>0.82</v>
      </c>
      <c r="Z256" s="7">
        <v>0.68</v>
      </c>
      <c r="AA256" s="7" t="s">
        <v>152</v>
      </c>
      <c r="AB256" s="7">
        <v>0</v>
      </c>
      <c r="AC256" s="14" t="s">
        <v>940</v>
      </c>
      <c r="AD256" s="7"/>
      <c r="AE256" s="7" t="s">
        <v>1369</v>
      </c>
      <c r="AF256" s="10" t="s">
        <v>1061</v>
      </c>
      <c r="AG256" s="14" t="s">
        <v>1060</v>
      </c>
      <c r="AH256" s="10"/>
      <c r="AJ256" s="32"/>
    </row>
    <row r="257" spans="1:36" s="12" customFormat="1" ht="14" customHeight="1" x14ac:dyDescent="0.2">
      <c r="A257" s="56" t="s">
        <v>1062</v>
      </c>
      <c r="B257" s="54">
        <v>283.3</v>
      </c>
      <c r="C257" s="54">
        <v>293.5</v>
      </c>
      <c r="D257" s="55">
        <v>288.39999999999998</v>
      </c>
      <c r="E257" s="54">
        <v>43.7</v>
      </c>
      <c r="F257" s="52">
        <v>3.5</v>
      </c>
      <c r="G257" s="58">
        <v>43</v>
      </c>
      <c r="H257" s="54">
        <v>199.2</v>
      </c>
      <c r="I257" s="54">
        <v>-19.899999999999999</v>
      </c>
      <c r="J257" s="54">
        <v>121.5</v>
      </c>
      <c r="K257" s="54">
        <v>1.9</v>
      </c>
      <c r="L257" s="55">
        <v>-53</v>
      </c>
      <c r="M257" s="55">
        <v>331</v>
      </c>
      <c r="N257" s="54"/>
      <c r="O257" s="52"/>
      <c r="P257" s="54">
        <v>258.07565546449422</v>
      </c>
      <c r="Q257" s="54">
        <v>1.3580169911208206</v>
      </c>
      <c r="R257" s="52">
        <v>301</v>
      </c>
      <c r="S257" s="55">
        <v>-43.629258531719003</v>
      </c>
      <c r="T257" s="55">
        <v>61.035540671550699</v>
      </c>
      <c r="U257" s="54">
        <v>46.041178267360799</v>
      </c>
      <c r="V257" s="54">
        <v>3.8904489598693401</v>
      </c>
      <c r="W257" s="54">
        <v>58.1952919941834</v>
      </c>
      <c r="X257" s="52" t="s">
        <v>1204</v>
      </c>
      <c r="Y257" s="54"/>
      <c r="Z257" s="54"/>
      <c r="AA257" s="52" t="b">
        <v>0</v>
      </c>
      <c r="AB257" s="52" t="s">
        <v>31</v>
      </c>
      <c r="AC257" s="49" t="s">
        <v>1063</v>
      </c>
      <c r="AD257" s="59">
        <v>1207</v>
      </c>
      <c r="AE257" s="52" t="s">
        <v>147</v>
      </c>
      <c r="AF257" s="56" t="s">
        <v>1064</v>
      </c>
      <c r="AG257" s="49"/>
      <c r="AH257" s="56" t="s">
        <v>1390</v>
      </c>
      <c r="AJ257" s="32"/>
    </row>
    <row r="258" spans="1:36" s="12" customFormat="1" ht="14" customHeight="1" x14ac:dyDescent="0.2">
      <c r="A258" s="14" t="s">
        <v>1067</v>
      </c>
      <c r="B258" s="9">
        <v>288</v>
      </c>
      <c r="C258" s="9">
        <v>293</v>
      </c>
      <c r="D258" s="13">
        <v>290.5</v>
      </c>
      <c r="E258" s="9">
        <v>49.5</v>
      </c>
      <c r="F258" s="9">
        <v>7</v>
      </c>
      <c r="G258" s="34">
        <v>11</v>
      </c>
      <c r="H258" s="7">
        <v>7.4</v>
      </c>
      <c r="I258" s="7">
        <v>15.5</v>
      </c>
      <c r="J258" s="7">
        <v>9.1999999999999993</v>
      </c>
      <c r="K258" s="7">
        <v>15.9</v>
      </c>
      <c r="L258" s="13">
        <v>-41.1</v>
      </c>
      <c r="M258" s="13">
        <v>349.2</v>
      </c>
      <c r="N258" s="9"/>
      <c r="O258" s="9"/>
      <c r="P258" s="37">
        <v>20.835310396621107</v>
      </c>
      <c r="Q258" s="38">
        <v>10.242261778324167</v>
      </c>
      <c r="R258" s="7">
        <v>301</v>
      </c>
      <c r="S258" s="13">
        <v>-26.617243010860701</v>
      </c>
      <c r="T258" s="13">
        <v>58.9652351792435</v>
      </c>
      <c r="U258" s="9">
        <v>46.041178267360799</v>
      </c>
      <c r="V258" s="9">
        <v>3.8904489598693401</v>
      </c>
      <c r="W258" s="9">
        <v>58.1952919941834</v>
      </c>
      <c r="X258" s="7" t="s">
        <v>1202</v>
      </c>
      <c r="Y258" s="10"/>
      <c r="Z258" s="10"/>
      <c r="AA258" s="7" t="b">
        <v>1</v>
      </c>
      <c r="AB258" s="7">
        <v>0</v>
      </c>
      <c r="AC258" s="14" t="s">
        <v>1466</v>
      </c>
      <c r="AD258" s="7">
        <v>712</v>
      </c>
      <c r="AE258" s="7" t="s">
        <v>147</v>
      </c>
      <c r="AF258" s="10" t="s">
        <v>1068</v>
      </c>
      <c r="AG258" s="14"/>
      <c r="AH258" s="10"/>
      <c r="AJ258" s="32"/>
    </row>
    <row r="259" spans="1:36" s="12" customFormat="1" ht="14" customHeight="1" x14ac:dyDescent="0.2">
      <c r="A259" s="14" t="s">
        <v>1069</v>
      </c>
      <c r="B259" s="9">
        <v>288</v>
      </c>
      <c r="C259" s="9">
        <v>293</v>
      </c>
      <c r="D259" s="13">
        <v>290.5</v>
      </c>
      <c r="E259" s="9">
        <v>50</v>
      </c>
      <c r="F259" s="9">
        <v>8</v>
      </c>
      <c r="G259" s="34">
        <v>5</v>
      </c>
      <c r="H259" s="9">
        <v>15</v>
      </c>
      <c r="I259" s="9">
        <v>15</v>
      </c>
      <c r="J259" s="9">
        <v>46</v>
      </c>
      <c r="K259" s="9">
        <v>13</v>
      </c>
      <c r="L259" s="13">
        <v>-46</v>
      </c>
      <c r="M259" s="13">
        <v>347</v>
      </c>
      <c r="N259" s="9"/>
      <c r="O259" s="9"/>
      <c r="P259" s="37">
        <v>104.83243964584472</v>
      </c>
      <c r="Q259" s="38">
        <v>7.5075156537244405</v>
      </c>
      <c r="R259" s="7">
        <v>301</v>
      </c>
      <c r="S259" s="13">
        <v>-31.156701386579901</v>
      </c>
      <c r="T259" s="13">
        <v>61.750216058641897</v>
      </c>
      <c r="U259" s="9">
        <v>46.041178267360799</v>
      </c>
      <c r="V259" s="9">
        <v>3.8904489598693401</v>
      </c>
      <c r="W259" s="9">
        <v>58.1952919941834</v>
      </c>
      <c r="X259" s="7" t="s">
        <v>1202</v>
      </c>
      <c r="Y259" s="10"/>
      <c r="Z259" s="10"/>
      <c r="AA259" s="7" t="b">
        <v>1</v>
      </c>
      <c r="AB259" s="7">
        <v>0</v>
      </c>
      <c r="AC259" s="14" t="s">
        <v>1070</v>
      </c>
      <c r="AD259" s="7">
        <v>940</v>
      </c>
      <c r="AE259" s="7" t="s">
        <v>147</v>
      </c>
      <c r="AF259" s="10" t="s">
        <v>1068</v>
      </c>
      <c r="AG259" s="14"/>
      <c r="AH259" s="10" t="s">
        <v>1269</v>
      </c>
      <c r="AJ259" s="32"/>
    </row>
    <row r="260" spans="1:36" s="12" customFormat="1" ht="14" customHeight="1" x14ac:dyDescent="0.2">
      <c r="A260" s="49" t="s">
        <v>1078</v>
      </c>
      <c r="B260" s="54">
        <v>283</v>
      </c>
      <c r="C260" s="54">
        <v>299</v>
      </c>
      <c r="D260" s="55">
        <v>291</v>
      </c>
      <c r="E260" s="52">
        <v>63.3</v>
      </c>
      <c r="F260" s="52">
        <v>8.5</v>
      </c>
      <c r="G260" s="53">
        <v>1</v>
      </c>
      <c r="H260" s="52">
        <v>12</v>
      </c>
      <c r="I260" s="52">
        <v>12</v>
      </c>
      <c r="J260" s="52">
        <v>109.5</v>
      </c>
      <c r="K260" s="52">
        <v>2.4</v>
      </c>
      <c r="L260" s="55">
        <v>-32</v>
      </c>
      <c r="M260" s="55">
        <v>354</v>
      </c>
      <c r="N260" s="54"/>
      <c r="O260" s="54"/>
      <c r="P260" s="54">
        <v>258.00500938470191</v>
      </c>
      <c r="Q260" s="54"/>
      <c r="R260" s="52">
        <v>301</v>
      </c>
      <c r="S260" s="55">
        <v>-17.3160485164439</v>
      </c>
      <c r="T260" s="55">
        <v>55.369922042530703</v>
      </c>
      <c r="U260" s="54">
        <v>46.041178267360799</v>
      </c>
      <c r="V260" s="54">
        <v>3.8904489598693401</v>
      </c>
      <c r="W260" s="54">
        <v>58.1952919941834</v>
      </c>
      <c r="X260" s="52" t="s">
        <v>1202</v>
      </c>
      <c r="Y260" s="56"/>
      <c r="Z260" s="56"/>
      <c r="AA260" s="52" t="b">
        <v>0</v>
      </c>
      <c r="AB260" s="52" t="s">
        <v>31</v>
      </c>
      <c r="AC260" s="49" t="s">
        <v>1079</v>
      </c>
      <c r="AD260" s="52">
        <v>1540</v>
      </c>
      <c r="AE260" s="52" t="s">
        <v>147</v>
      </c>
      <c r="AF260" s="56" t="s">
        <v>1080</v>
      </c>
      <c r="AG260" s="49" t="s">
        <v>1317</v>
      </c>
      <c r="AH260" s="56"/>
      <c r="AJ260" s="32"/>
    </row>
    <row r="261" spans="1:36" s="12" customFormat="1" ht="14" customHeight="1" x14ac:dyDescent="0.2">
      <c r="A261" s="56" t="s">
        <v>1092</v>
      </c>
      <c r="B261" s="52">
        <v>290.5</v>
      </c>
      <c r="C261" s="52">
        <v>293.5</v>
      </c>
      <c r="D261" s="55">
        <f>(B261+C261)/2</f>
        <v>292</v>
      </c>
      <c r="E261" s="54">
        <v>43.69</v>
      </c>
      <c r="F261" s="54">
        <v>3.35</v>
      </c>
      <c r="G261" s="58">
        <v>15</v>
      </c>
      <c r="H261" s="52">
        <v>189.9</v>
      </c>
      <c r="I261" s="52">
        <v>7.4</v>
      </c>
      <c r="J261" s="52">
        <v>47.2</v>
      </c>
      <c r="K261" s="54">
        <v>5.6</v>
      </c>
      <c r="L261" s="55">
        <v>-41.763754568661881</v>
      </c>
      <c r="M261" s="55">
        <v>350.05203612436736</v>
      </c>
      <c r="N261" s="54"/>
      <c r="O261" s="54"/>
      <c r="P261" s="54">
        <v>115.37209452948768</v>
      </c>
      <c r="Q261" s="54">
        <v>3.5749846134469085</v>
      </c>
      <c r="R261" s="52">
        <v>301</v>
      </c>
      <c r="S261" s="55">
        <v>-26.638025460767899</v>
      </c>
      <c r="T261" s="55">
        <v>59.995482957152099</v>
      </c>
      <c r="U261" s="54">
        <v>46.041178267360799</v>
      </c>
      <c r="V261" s="54">
        <v>3.8904489598693401</v>
      </c>
      <c r="W261" s="54">
        <v>58.1952919941834</v>
      </c>
      <c r="X261" s="52" t="s">
        <v>1204</v>
      </c>
      <c r="Y261" s="56"/>
      <c r="Z261" s="56"/>
      <c r="AA261" s="52" t="b">
        <v>0</v>
      </c>
      <c r="AB261" s="52" t="s">
        <v>165</v>
      </c>
      <c r="AC261" s="49" t="s">
        <v>975</v>
      </c>
      <c r="AD261" s="52">
        <v>168</v>
      </c>
      <c r="AE261" s="52" t="s">
        <v>147</v>
      </c>
      <c r="AF261" s="56" t="s">
        <v>1093</v>
      </c>
      <c r="AG261" s="49" t="s">
        <v>1410</v>
      </c>
      <c r="AH261" s="56"/>
      <c r="AJ261" s="32"/>
    </row>
    <row r="262" spans="1:36" s="12" customFormat="1" ht="14" customHeight="1" x14ac:dyDescent="0.2">
      <c r="A262" s="56" t="s">
        <v>971</v>
      </c>
      <c r="B262" s="52">
        <v>290.10000000000002</v>
      </c>
      <c r="C262" s="52">
        <v>295.5</v>
      </c>
      <c r="D262" s="55">
        <f>(B262+C262)/2</f>
        <v>292.8</v>
      </c>
      <c r="E262" s="54">
        <v>43.69</v>
      </c>
      <c r="F262" s="54">
        <v>3.35</v>
      </c>
      <c r="G262" s="58">
        <v>65</v>
      </c>
      <c r="H262" s="52">
        <v>190.7</v>
      </c>
      <c r="I262" s="52">
        <v>8.4</v>
      </c>
      <c r="J262" s="52">
        <v>112.2</v>
      </c>
      <c r="K262" s="54">
        <v>1.7</v>
      </c>
      <c r="L262" s="55">
        <v>-42</v>
      </c>
      <c r="M262" s="55">
        <v>349</v>
      </c>
      <c r="N262" s="54"/>
      <c r="O262" s="54"/>
      <c r="P262" s="54">
        <v>272.47646402706431</v>
      </c>
      <c r="Q262" s="54">
        <v>1.0682239619384395</v>
      </c>
      <c r="R262" s="52">
        <v>301</v>
      </c>
      <c r="S262" s="55">
        <v>-27.358959853571399</v>
      </c>
      <c r="T262" s="55">
        <v>59.561448349656303</v>
      </c>
      <c r="U262" s="54">
        <v>46.041178267360799</v>
      </c>
      <c r="V262" s="54">
        <v>3.8904489598693401</v>
      </c>
      <c r="W262" s="54">
        <v>58.1952919941834</v>
      </c>
      <c r="X262" s="52" t="s">
        <v>1204</v>
      </c>
      <c r="Y262" s="56"/>
      <c r="Z262" s="56"/>
      <c r="AA262" s="52" t="b">
        <v>0</v>
      </c>
      <c r="AB262" s="52" t="s">
        <v>165</v>
      </c>
      <c r="AC262" s="49" t="s">
        <v>972</v>
      </c>
      <c r="AD262" s="52">
        <v>1813</v>
      </c>
      <c r="AE262" s="52" t="s">
        <v>147</v>
      </c>
      <c r="AF262" s="56" t="s">
        <v>1093</v>
      </c>
      <c r="AG262" s="49" t="s">
        <v>1411</v>
      </c>
      <c r="AH262" s="56" t="s">
        <v>1094</v>
      </c>
      <c r="AJ262" s="32"/>
    </row>
    <row r="263" spans="1:36" s="12" customFormat="1" ht="14" customHeight="1" x14ac:dyDescent="0.2">
      <c r="A263" s="49" t="s">
        <v>1095</v>
      </c>
      <c r="B263" s="54">
        <v>281</v>
      </c>
      <c r="C263" s="54">
        <v>305</v>
      </c>
      <c r="D263" s="55">
        <v>293</v>
      </c>
      <c r="E263" s="54">
        <v>51</v>
      </c>
      <c r="F263" s="54">
        <v>16</v>
      </c>
      <c r="G263" s="53">
        <v>4</v>
      </c>
      <c r="H263" s="54">
        <v>22</v>
      </c>
      <c r="I263" s="54">
        <v>12</v>
      </c>
      <c r="J263" s="54">
        <v>50.9</v>
      </c>
      <c r="K263" s="54">
        <v>13</v>
      </c>
      <c r="L263" s="55">
        <v>-42</v>
      </c>
      <c r="M263" s="55">
        <v>346</v>
      </c>
      <c r="N263" s="54"/>
      <c r="O263" s="54"/>
      <c r="P263" s="54">
        <v>119.93109568658745</v>
      </c>
      <c r="Q263" s="54">
        <v>8.4239177405033594</v>
      </c>
      <c r="R263" s="52">
        <v>301</v>
      </c>
      <c r="S263" s="55">
        <v>-28.958577560233099</v>
      </c>
      <c r="T263" s="55">
        <v>57.8001046897175</v>
      </c>
      <c r="U263" s="54">
        <v>46.041178267360799</v>
      </c>
      <c r="V263" s="54">
        <v>3.8904489598693401</v>
      </c>
      <c r="W263" s="54">
        <v>58.1952919941834</v>
      </c>
      <c r="X263" s="52" t="s">
        <v>1202</v>
      </c>
      <c r="Y263" s="56"/>
      <c r="Z263" s="56"/>
      <c r="AA263" s="52" t="b">
        <v>1</v>
      </c>
      <c r="AB263" s="52" t="s">
        <v>31</v>
      </c>
      <c r="AC263" s="49" t="s">
        <v>1096</v>
      </c>
      <c r="AD263" s="52">
        <v>2446</v>
      </c>
      <c r="AE263" s="52" t="s">
        <v>147</v>
      </c>
      <c r="AF263" s="56" t="s">
        <v>1097</v>
      </c>
      <c r="AG263" s="49"/>
      <c r="AH263" s="49" t="s">
        <v>1361</v>
      </c>
      <c r="AJ263" s="32"/>
    </row>
    <row r="264" spans="1:36" s="12" customFormat="1" ht="14" customHeight="1" x14ac:dyDescent="0.2">
      <c r="A264" s="49" t="s">
        <v>1098</v>
      </c>
      <c r="B264" s="54">
        <v>287</v>
      </c>
      <c r="C264" s="54">
        <v>300</v>
      </c>
      <c r="D264" s="55">
        <v>293.5</v>
      </c>
      <c r="E264" s="54">
        <v>55.5</v>
      </c>
      <c r="F264" s="54">
        <v>13.5</v>
      </c>
      <c r="G264" s="53">
        <v>13</v>
      </c>
      <c r="H264" s="54">
        <v>19.5</v>
      </c>
      <c r="I264" s="54">
        <v>15</v>
      </c>
      <c r="J264" s="54">
        <v>42</v>
      </c>
      <c r="K264" s="54">
        <v>6.5</v>
      </c>
      <c r="L264" s="55">
        <v>-38.5</v>
      </c>
      <c r="M264" s="55">
        <v>348.5</v>
      </c>
      <c r="N264" s="54"/>
      <c r="O264" s="54"/>
      <c r="P264" s="54">
        <v>95.716575328814741</v>
      </c>
      <c r="Q264" s="54">
        <v>4.2588911727918966</v>
      </c>
      <c r="R264" s="52">
        <v>301</v>
      </c>
      <c r="S264" s="55">
        <v>-25.1412276572837</v>
      </c>
      <c r="T264" s="55">
        <v>56.512187650537001</v>
      </c>
      <c r="U264" s="54">
        <v>46.041178267360799</v>
      </c>
      <c r="V264" s="54">
        <v>3.8904489598693401</v>
      </c>
      <c r="W264" s="54">
        <v>58.1952919941834</v>
      </c>
      <c r="X264" s="52" t="s">
        <v>1202</v>
      </c>
      <c r="Y264" s="56"/>
      <c r="Z264" s="56"/>
      <c r="AA264" s="52" t="b">
        <v>0</v>
      </c>
      <c r="AB264" s="52">
        <v>0</v>
      </c>
      <c r="AC264" s="49" t="s">
        <v>977</v>
      </c>
      <c r="AD264" s="52">
        <v>2222</v>
      </c>
      <c r="AE264" s="52" t="s">
        <v>147</v>
      </c>
      <c r="AF264" s="56" t="s">
        <v>1100</v>
      </c>
      <c r="AG264" s="49" t="s">
        <v>1099</v>
      </c>
      <c r="AH264" s="56"/>
      <c r="AJ264" s="32"/>
    </row>
    <row r="265" spans="1:36" s="12" customFormat="1" ht="14" customHeight="1" x14ac:dyDescent="0.2">
      <c r="A265" s="14" t="s">
        <v>1101</v>
      </c>
      <c r="B265" s="9">
        <v>287</v>
      </c>
      <c r="C265" s="9">
        <v>300</v>
      </c>
      <c r="D265" s="13">
        <v>293.5</v>
      </c>
      <c r="E265" s="9">
        <v>55.5</v>
      </c>
      <c r="F265" s="9">
        <v>13.5</v>
      </c>
      <c r="G265" s="34">
        <v>6</v>
      </c>
      <c r="H265" s="9">
        <v>10</v>
      </c>
      <c r="I265" s="9">
        <v>11</v>
      </c>
      <c r="J265" s="9">
        <v>36</v>
      </c>
      <c r="K265" s="9">
        <v>11</v>
      </c>
      <c r="L265" s="13">
        <v>-37</v>
      </c>
      <c r="M265" s="13">
        <v>354</v>
      </c>
      <c r="N265" s="9"/>
      <c r="O265" s="9"/>
      <c r="P265" s="9">
        <v>85.630103849169302</v>
      </c>
      <c r="Q265" s="9">
        <v>7.2812495156162909</v>
      </c>
      <c r="R265" s="7">
        <v>301</v>
      </c>
      <c r="S265" s="13">
        <v>-21.078750658349801</v>
      </c>
      <c r="T265" s="13">
        <v>58.857451715014598</v>
      </c>
      <c r="U265" s="9">
        <v>46.041178267360799</v>
      </c>
      <c r="V265" s="9">
        <v>3.8904489598693401</v>
      </c>
      <c r="W265" s="9">
        <v>58.1952919941834</v>
      </c>
      <c r="X265" s="7" t="s">
        <v>1202</v>
      </c>
      <c r="Y265" s="10"/>
      <c r="Z265" s="10"/>
      <c r="AA265" s="7" t="b">
        <v>1</v>
      </c>
      <c r="AB265" s="7">
        <v>0</v>
      </c>
      <c r="AC265" s="14" t="s">
        <v>999</v>
      </c>
      <c r="AD265" s="7">
        <v>2211</v>
      </c>
      <c r="AE265" s="7" t="s">
        <v>147</v>
      </c>
      <c r="AF265" s="10" t="s">
        <v>1100</v>
      </c>
      <c r="AG265" s="14" t="s">
        <v>1102</v>
      </c>
      <c r="AH265" s="10"/>
      <c r="AJ265" s="32"/>
    </row>
    <row r="266" spans="1:36" s="17" customFormat="1" ht="14" customHeight="1" x14ac:dyDescent="0.2">
      <c r="A266" s="49" t="s">
        <v>1103</v>
      </c>
      <c r="B266" s="54">
        <v>292</v>
      </c>
      <c r="C266" s="54">
        <v>296</v>
      </c>
      <c r="D266" s="55">
        <v>294</v>
      </c>
      <c r="E266" s="54">
        <v>55.5</v>
      </c>
      <c r="F266" s="54">
        <v>-1.7</v>
      </c>
      <c r="G266" s="53">
        <v>5</v>
      </c>
      <c r="H266" s="54">
        <v>13.9</v>
      </c>
      <c r="I266" s="54">
        <v>21.7</v>
      </c>
      <c r="J266" s="54">
        <v>259</v>
      </c>
      <c r="K266" s="54">
        <v>4.8</v>
      </c>
      <c r="L266" s="55">
        <v>-44.4</v>
      </c>
      <c r="M266" s="55">
        <v>339.1</v>
      </c>
      <c r="N266" s="54"/>
      <c r="O266" s="54"/>
      <c r="P266" s="54">
        <v>533.44194363134091</v>
      </c>
      <c r="Q266" s="54">
        <v>3.3159871598592527</v>
      </c>
      <c r="R266" s="52">
        <v>301</v>
      </c>
      <c r="S266" s="55">
        <v>-34.308492003143598</v>
      </c>
      <c r="T266" s="55">
        <v>55.975215772347902</v>
      </c>
      <c r="U266" s="54">
        <v>46.041178267360799</v>
      </c>
      <c r="V266" s="54">
        <v>3.8904489598693401</v>
      </c>
      <c r="W266" s="54">
        <v>58.1952919941834</v>
      </c>
      <c r="X266" s="52" t="s">
        <v>1202</v>
      </c>
      <c r="Y266" s="56"/>
      <c r="Z266" s="56"/>
      <c r="AA266" s="52" t="b">
        <v>0</v>
      </c>
      <c r="AB266" s="52">
        <v>0</v>
      </c>
      <c r="AC266" s="49" t="s">
        <v>1104</v>
      </c>
      <c r="AD266" s="52">
        <v>585</v>
      </c>
      <c r="AE266" s="52" t="s">
        <v>147</v>
      </c>
      <c r="AF266" s="56" t="s">
        <v>1106</v>
      </c>
      <c r="AG266" s="49" t="s">
        <v>1105</v>
      </c>
      <c r="AH266" s="56"/>
      <c r="AJ266" s="32"/>
    </row>
    <row r="267" spans="1:36" s="17" customFormat="1" ht="14" customHeight="1" x14ac:dyDescent="0.2">
      <c r="A267" s="49" t="s">
        <v>1110</v>
      </c>
      <c r="B267" s="54">
        <v>293.10000000000002</v>
      </c>
      <c r="C267" s="54">
        <v>294.89999999999998</v>
      </c>
      <c r="D267" s="55">
        <v>294</v>
      </c>
      <c r="E267" s="54">
        <v>47</v>
      </c>
      <c r="F267" s="54">
        <v>7</v>
      </c>
      <c r="G267" s="53">
        <v>9</v>
      </c>
      <c r="H267" s="54">
        <v>12</v>
      </c>
      <c r="I267" s="54">
        <v>13</v>
      </c>
      <c r="J267" s="54">
        <v>134</v>
      </c>
      <c r="K267" s="54">
        <v>4</v>
      </c>
      <c r="L267" s="55">
        <v>-47</v>
      </c>
      <c r="M267" s="55">
        <v>348</v>
      </c>
      <c r="N267" s="54"/>
      <c r="O267" s="54"/>
      <c r="P267" s="61">
        <v>312.50082340526723</v>
      </c>
      <c r="Q267" s="64">
        <v>2.9169714215138525</v>
      </c>
      <c r="R267" s="52">
        <v>301</v>
      </c>
      <c r="S267" s="55">
        <v>-31.3201315093517</v>
      </c>
      <c r="T267" s="55">
        <v>63.157146180049601</v>
      </c>
      <c r="U267" s="54">
        <v>46.041178267360799</v>
      </c>
      <c r="V267" s="54">
        <v>3.8904489598693401</v>
      </c>
      <c r="W267" s="54">
        <v>58.1952919941834</v>
      </c>
      <c r="X267" s="52" t="s">
        <v>1202</v>
      </c>
      <c r="Y267" s="56"/>
      <c r="Z267" s="56"/>
      <c r="AA267" s="52" t="b">
        <v>0</v>
      </c>
      <c r="AB267" s="52">
        <v>0</v>
      </c>
      <c r="AC267" s="49" t="s">
        <v>1111</v>
      </c>
      <c r="AD267" s="52">
        <v>1010</v>
      </c>
      <c r="AE267" s="52" t="s">
        <v>147</v>
      </c>
      <c r="AF267" s="56" t="s">
        <v>1113</v>
      </c>
      <c r="AG267" s="49"/>
      <c r="AH267" s="56" t="s">
        <v>1112</v>
      </c>
      <c r="AJ267" s="32"/>
    </row>
    <row r="268" spans="1:36" s="12" customFormat="1" ht="14" customHeight="1" x14ac:dyDescent="0.2">
      <c r="A268" s="49" t="s">
        <v>1107</v>
      </c>
      <c r="B268" s="54">
        <v>292</v>
      </c>
      <c r="C268" s="54">
        <v>296</v>
      </c>
      <c r="D268" s="55">
        <v>294</v>
      </c>
      <c r="E268" s="54">
        <v>54.8</v>
      </c>
      <c r="F268" s="54">
        <v>-2.5</v>
      </c>
      <c r="G268" s="53">
        <v>47</v>
      </c>
      <c r="H268" s="54">
        <v>9.1999999999999993</v>
      </c>
      <c r="I268" s="54">
        <v>3.3</v>
      </c>
      <c r="J268" s="54">
        <v>35</v>
      </c>
      <c r="K268" s="54">
        <v>3.5</v>
      </c>
      <c r="L268" s="55">
        <v>-32.9</v>
      </c>
      <c r="M268" s="58">
        <v>347.1</v>
      </c>
      <c r="N268" s="54">
        <v>70.2</v>
      </c>
      <c r="O268" s="54">
        <v>2.5</v>
      </c>
      <c r="P268" s="54" t="s">
        <v>1203</v>
      </c>
      <c r="Q268" s="54" t="s">
        <v>1203</v>
      </c>
      <c r="R268" s="52">
        <v>301</v>
      </c>
      <c r="S268" s="55">
        <v>-21.869830314282499</v>
      </c>
      <c r="T268" s="55">
        <v>51.402053536650797</v>
      </c>
      <c r="U268" s="54">
        <v>46.041178267360799</v>
      </c>
      <c r="V268" s="54">
        <v>3.8904489598693401</v>
      </c>
      <c r="W268" s="54">
        <v>58.1952919941834</v>
      </c>
      <c r="X268" s="52" t="s">
        <v>1202</v>
      </c>
      <c r="Y268" s="56"/>
      <c r="Z268" s="56"/>
      <c r="AA268" s="52" t="b">
        <v>0</v>
      </c>
      <c r="AB268" s="52">
        <v>0</v>
      </c>
      <c r="AC268" s="49" t="s">
        <v>1108</v>
      </c>
      <c r="AD268" s="52"/>
      <c r="AE268" s="52" t="s">
        <v>147</v>
      </c>
      <c r="AF268" s="56" t="s">
        <v>1106</v>
      </c>
      <c r="AG268" s="49"/>
      <c r="AH268" s="56"/>
      <c r="AJ268" s="32"/>
    </row>
    <row r="269" spans="1:36" s="12" customFormat="1" ht="14" customHeight="1" x14ac:dyDescent="0.2">
      <c r="A269" s="14" t="s">
        <v>1116</v>
      </c>
      <c r="B269" s="9">
        <v>292</v>
      </c>
      <c r="C269" s="9">
        <v>296</v>
      </c>
      <c r="D269" s="13">
        <v>294</v>
      </c>
      <c r="E269" s="9">
        <v>55.4</v>
      </c>
      <c r="F269" s="9">
        <v>-1.6</v>
      </c>
      <c r="G269" s="34">
        <v>17</v>
      </c>
      <c r="H269" s="9">
        <v>14.6</v>
      </c>
      <c r="I269" s="9">
        <v>25.6</v>
      </c>
      <c r="J269" s="9">
        <v>20.5</v>
      </c>
      <c r="K269" s="9">
        <v>8.1</v>
      </c>
      <c r="L269" s="13">
        <v>-47.1</v>
      </c>
      <c r="M269" s="13">
        <v>337.1</v>
      </c>
      <c r="N269" s="9">
        <v>47.1</v>
      </c>
      <c r="O269" s="9">
        <v>7.7</v>
      </c>
      <c r="P269" s="9" t="s">
        <v>1203</v>
      </c>
      <c r="Q269" s="9" t="s">
        <v>1203</v>
      </c>
      <c r="R269" s="7">
        <v>301</v>
      </c>
      <c r="S269" s="13">
        <v>-37.084451796553502</v>
      </c>
      <c r="T269" s="13">
        <v>57.498747460489703</v>
      </c>
      <c r="U269" s="9">
        <v>46.041178267360799</v>
      </c>
      <c r="V269" s="9">
        <v>3.8904489598693401</v>
      </c>
      <c r="W269" s="9">
        <v>58.1952919941834</v>
      </c>
      <c r="X269" s="7" t="s">
        <v>1202</v>
      </c>
      <c r="Y269" s="10"/>
      <c r="Z269" s="10"/>
      <c r="AA269" s="7" t="b">
        <v>1</v>
      </c>
      <c r="AB269" s="7">
        <v>0</v>
      </c>
      <c r="AC269" s="14" t="s">
        <v>1108</v>
      </c>
      <c r="AD269" s="7"/>
      <c r="AE269" s="7" t="s">
        <v>147</v>
      </c>
      <c r="AF269" s="10" t="s">
        <v>1117</v>
      </c>
      <c r="AG269" s="14"/>
      <c r="AH269" s="10"/>
      <c r="AJ269" s="32"/>
    </row>
    <row r="270" spans="1:36" s="17" customFormat="1" ht="14" customHeight="1" x14ac:dyDescent="0.2">
      <c r="A270" s="14" t="s">
        <v>1109</v>
      </c>
      <c r="B270" s="9">
        <v>292</v>
      </c>
      <c r="C270" s="9">
        <v>296</v>
      </c>
      <c r="D270" s="13">
        <v>294</v>
      </c>
      <c r="E270" s="9">
        <v>55.7</v>
      </c>
      <c r="F270" s="9">
        <v>-1.8</v>
      </c>
      <c r="G270" s="34">
        <v>20</v>
      </c>
      <c r="H270" s="9">
        <v>9.5</v>
      </c>
      <c r="I270" s="9">
        <v>2.8</v>
      </c>
      <c r="J270" s="9">
        <v>27.6</v>
      </c>
      <c r="K270" s="9">
        <v>6.3</v>
      </c>
      <c r="L270" s="13">
        <v>-35.4</v>
      </c>
      <c r="M270" s="6">
        <v>346.8</v>
      </c>
      <c r="N270" s="9">
        <v>36.200000000000003</v>
      </c>
      <c r="O270" s="9">
        <v>5.5</v>
      </c>
      <c r="P270" s="9" t="s">
        <v>1203</v>
      </c>
      <c r="Q270" s="9" t="s">
        <v>1203</v>
      </c>
      <c r="R270" s="7">
        <v>301</v>
      </c>
      <c r="S270" s="13">
        <v>-23.856512861353099</v>
      </c>
      <c r="T270" s="13">
        <v>53.071065914761</v>
      </c>
      <c r="U270" s="9">
        <v>46.041178267360799</v>
      </c>
      <c r="V270" s="9">
        <v>3.8904489598693401</v>
      </c>
      <c r="W270" s="9">
        <v>58.1952919941834</v>
      </c>
      <c r="X270" s="7" t="s">
        <v>1202</v>
      </c>
      <c r="Y270" s="10"/>
      <c r="Z270" s="10"/>
      <c r="AA270" s="7" t="b">
        <v>1</v>
      </c>
      <c r="AB270" s="7">
        <v>0</v>
      </c>
      <c r="AC270" s="14" t="s">
        <v>1108</v>
      </c>
      <c r="AD270" s="7"/>
      <c r="AE270" s="7" t="s">
        <v>147</v>
      </c>
      <c r="AF270" s="10" t="s">
        <v>1106</v>
      </c>
      <c r="AG270" s="14"/>
      <c r="AH270" s="10"/>
      <c r="AJ270" s="32"/>
    </row>
    <row r="271" spans="1:36" s="17" customFormat="1" ht="14" customHeight="1" x14ac:dyDescent="0.2">
      <c r="A271" s="49" t="s">
        <v>1114</v>
      </c>
      <c r="B271" s="54">
        <v>293.10000000000002</v>
      </c>
      <c r="C271" s="54">
        <v>294.89999999999998</v>
      </c>
      <c r="D271" s="55">
        <v>294</v>
      </c>
      <c r="E271" s="54">
        <v>48.5</v>
      </c>
      <c r="F271" s="54">
        <v>7.3</v>
      </c>
      <c r="G271" s="53">
        <v>3</v>
      </c>
      <c r="H271" s="54">
        <v>14</v>
      </c>
      <c r="I271" s="54">
        <v>3.4</v>
      </c>
      <c r="J271" s="54">
        <v>43.7</v>
      </c>
      <c r="K271" s="54">
        <v>19</v>
      </c>
      <c r="L271" s="55">
        <v>-41.7</v>
      </c>
      <c r="M271" s="55">
        <v>348.3</v>
      </c>
      <c r="N271" s="54"/>
      <c r="O271" s="54"/>
      <c r="P271" s="61">
        <v>108.73185837865547</v>
      </c>
      <c r="Q271" s="64">
        <v>11.88025399947756</v>
      </c>
      <c r="R271" s="52">
        <v>301</v>
      </c>
      <c r="S271" s="55">
        <v>-27.518990937846201</v>
      </c>
      <c r="T271" s="55">
        <v>58.908052642913901</v>
      </c>
      <c r="U271" s="54">
        <v>46.041178267360799</v>
      </c>
      <c r="V271" s="54">
        <v>3.8904489598693401</v>
      </c>
      <c r="W271" s="54">
        <v>58.1952919941834</v>
      </c>
      <c r="X271" s="52" t="s">
        <v>1202</v>
      </c>
      <c r="Y271" s="56"/>
      <c r="Z271" s="56"/>
      <c r="AA271" s="52" t="b">
        <v>1</v>
      </c>
      <c r="AB271" s="52" t="s">
        <v>31</v>
      </c>
      <c r="AC271" s="49" t="s">
        <v>1115</v>
      </c>
      <c r="AD271" s="52">
        <v>174</v>
      </c>
      <c r="AE271" s="52" t="s">
        <v>147</v>
      </c>
      <c r="AF271" s="56" t="s">
        <v>1113</v>
      </c>
      <c r="AG271" s="49"/>
      <c r="AH271" s="56"/>
      <c r="AJ271" s="32"/>
    </row>
    <row r="272" spans="1:36" s="12" customFormat="1" ht="14" customHeight="1" x14ac:dyDescent="0.2">
      <c r="A272" s="49" t="s">
        <v>1118</v>
      </c>
      <c r="B272" s="54">
        <v>292.10000000000002</v>
      </c>
      <c r="C272" s="54">
        <v>296.3</v>
      </c>
      <c r="D272" s="55">
        <v>294.2</v>
      </c>
      <c r="E272" s="54">
        <v>50.1</v>
      </c>
      <c r="F272" s="54">
        <v>19.7</v>
      </c>
      <c r="G272" s="53">
        <v>5</v>
      </c>
      <c r="H272" s="54">
        <v>17</v>
      </c>
      <c r="I272" s="54">
        <v>13</v>
      </c>
      <c r="J272" s="54">
        <v>256.10000000000002</v>
      </c>
      <c r="K272" s="54">
        <v>4.8</v>
      </c>
      <c r="L272" s="55">
        <v>-44</v>
      </c>
      <c r="M272" s="55">
        <v>355</v>
      </c>
      <c r="N272" s="54"/>
      <c r="O272" s="54"/>
      <c r="P272" s="61">
        <v>597.24970801558914</v>
      </c>
      <c r="Q272" s="64">
        <v>3.1335535454639825</v>
      </c>
      <c r="R272" s="52">
        <v>301</v>
      </c>
      <c r="S272" s="55">
        <v>-25.719856761828002</v>
      </c>
      <c r="T272" s="55">
        <v>64.629688820665905</v>
      </c>
      <c r="U272" s="54">
        <v>46.041178267360799</v>
      </c>
      <c r="V272" s="54">
        <v>3.8904489598693401</v>
      </c>
      <c r="W272" s="54">
        <v>58.1952919941834</v>
      </c>
      <c r="X272" s="52" t="s">
        <v>1202</v>
      </c>
      <c r="Y272" s="56"/>
      <c r="Z272" s="56"/>
      <c r="AA272" s="52" t="b">
        <v>0</v>
      </c>
      <c r="AB272" s="52">
        <v>0</v>
      </c>
      <c r="AC272" s="49" t="s">
        <v>933</v>
      </c>
      <c r="AD272" s="52"/>
      <c r="AE272" s="52" t="s">
        <v>147</v>
      </c>
      <c r="AF272" s="56" t="s">
        <v>1119</v>
      </c>
      <c r="AG272" s="49" t="s">
        <v>1279</v>
      </c>
      <c r="AH272" s="56" t="s">
        <v>1268</v>
      </c>
      <c r="AJ272" s="32"/>
    </row>
    <row r="273" spans="1:36" s="12" customFormat="1" ht="14" customHeight="1" x14ac:dyDescent="0.2">
      <c r="A273" s="49" t="s">
        <v>1123</v>
      </c>
      <c r="B273" s="54">
        <v>285</v>
      </c>
      <c r="C273" s="54">
        <v>305</v>
      </c>
      <c r="D273" s="55">
        <v>295</v>
      </c>
      <c r="E273" s="54">
        <v>50.7</v>
      </c>
      <c r="F273" s="54">
        <v>10.9</v>
      </c>
      <c r="G273" s="53">
        <v>8</v>
      </c>
      <c r="H273" s="54">
        <v>16.600000000000001</v>
      </c>
      <c r="I273" s="54">
        <v>0.5</v>
      </c>
      <c r="J273" s="54">
        <v>61.8</v>
      </c>
      <c r="K273" s="54">
        <v>7.1</v>
      </c>
      <c r="L273" s="55">
        <v>-37.1</v>
      </c>
      <c r="M273" s="55">
        <v>349.9</v>
      </c>
      <c r="N273" s="54"/>
      <c r="O273" s="54"/>
      <c r="P273" s="61">
        <v>154.48411691181087</v>
      </c>
      <c r="Q273" s="64">
        <v>4.4705995041909086</v>
      </c>
      <c r="R273" s="52">
        <v>301</v>
      </c>
      <c r="S273" s="55">
        <v>-23.365044808758402</v>
      </c>
      <c r="T273" s="55">
        <v>56.326375197822102</v>
      </c>
      <c r="U273" s="54">
        <v>46.041178267360799</v>
      </c>
      <c r="V273" s="54">
        <v>3.8904489598693401</v>
      </c>
      <c r="W273" s="54">
        <v>58.1952919941834</v>
      </c>
      <c r="X273" s="52" t="s">
        <v>1202</v>
      </c>
      <c r="Y273" s="56"/>
      <c r="Z273" s="56"/>
      <c r="AA273" s="52" t="b">
        <v>0</v>
      </c>
      <c r="AB273" s="52">
        <v>0</v>
      </c>
      <c r="AC273" s="49" t="s">
        <v>1052</v>
      </c>
      <c r="AD273" s="52">
        <v>1792</v>
      </c>
      <c r="AE273" s="52" t="s">
        <v>147</v>
      </c>
      <c r="AF273" s="56" t="s">
        <v>1126</v>
      </c>
      <c r="AG273" s="49" t="s">
        <v>1124</v>
      </c>
      <c r="AH273" s="56" t="s">
        <v>1125</v>
      </c>
      <c r="AJ273" s="32"/>
    </row>
    <row r="274" spans="1:36" s="17" customFormat="1" ht="14" customHeight="1" x14ac:dyDescent="0.2">
      <c r="A274" s="14" t="s">
        <v>1127</v>
      </c>
      <c r="B274" s="9">
        <v>285</v>
      </c>
      <c r="C274" s="9">
        <v>305</v>
      </c>
      <c r="D274" s="13">
        <v>295</v>
      </c>
      <c r="E274" s="9">
        <v>50.6</v>
      </c>
      <c r="F274" s="9">
        <v>16.100000000000001</v>
      </c>
      <c r="G274" s="34">
        <v>8</v>
      </c>
      <c r="H274" s="9">
        <v>16</v>
      </c>
      <c r="I274" s="9">
        <v>12</v>
      </c>
      <c r="J274" s="9">
        <v>17.399999999999999</v>
      </c>
      <c r="K274" s="9">
        <v>13.6</v>
      </c>
      <c r="L274" s="13">
        <v>-43</v>
      </c>
      <c r="M274" s="13">
        <v>354</v>
      </c>
      <c r="N274" s="9"/>
      <c r="O274" s="9"/>
      <c r="P274" s="37">
        <v>40.998056285788245</v>
      </c>
      <c r="Q274" s="38">
        <v>8.7536574840187562</v>
      </c>
      <c r="R274" s="7">
        <v>301</v>
      </c>
      <c r="S274" s="13">
        <v>-25.4934436075674</v>
      </c>
      <c r="T274" s="13">
        <v>63.282977761743801</v>
      </c>
      <c r="U274" s="9">
        <v>46.041178267360799</v>
      </c>
      <c r="V274" s="9">
        <v>3.8904489598693401</v>
      </c>
      <c r="W274" s="9">
        <v>58.1952919941834</v>
      </c>
      <c r="X274" s="7" t="s">
        <v>1202</v>
      </c>
      <c r="Y274" s="10"/>
      <c r="Z274" s="10"/>
      <c r="AA274" s="7" t="b">
        <v>1</v>
      </c>
      <c r="AB274" s="7">
        <v>0</v>
      </c>
      <c r="AC274" s="14" t="s">
        <v>1050</v>
      </c>
      <c r="AD274" s="7">
        <v>465</v>
      </c>
      <c r="AE274" s="7" t="s">
        <v>147</v>
      </c>
      <c r="AF274" s="10" t="s">
        <v>1129</v>
      </c>
      <c r="AG274" s="14"/>
      <c r="AH274" s="10" t="s">
        <v>1128</v>
      </c>
      <c r="AJ274" s="32"/>
    </row>
    <row r="275" spans="1:36" s="12" customFormat="1" ht="14" customHeight="1" x14ac:dyDescent="0.2">
      <c r="A275" s="49" t="s">
        <v>1130</v>
      </c>
      <c r="B275" s="54">
        <v>293.5</v>
      </c>
      <c r="C275" s="54">
        <v>298.89999999999998</v>
      </c>
      <c r="D275" s="55">
        <v>296.2</v>
      </c>
      <c r="E275" s="54">
        <v>48.4</v>
      </c>
      <c r="F275" s="54">
        <v>38.22</v>
      </c>
      <c r="G275" s="53">
        <v>40</v>
      </c>
      <c r="H275" s="54">
        <v>31</v>
      </c>
      <c r="I275" s="54">
        <v>29</v>
      </c>
      <c r="J275" s="54">
        <v>92.3</v>
      </c>
      <c r="K275" s="54">
        <v>2.4</v>
      </c>
      <c r="L275" s="55">
        <v>-48.4</v>
      </c>
      <c r="M275" s="55">
        <v>349.8</v>
      </c>
      <c r="N275" s="54">
        <v>178.8</v>
      </c>
      <c r="O275" s="54">
        <v>1.7</v>
      </c>
      <c r="P275" s="54" t="s">
        <v>1203</v>
      </c>
      <c r="Q275" s="54" t="s">
        <v>1203</v>
      </c>
      <c r="R275" s="52">
        <v>301</v>
      </c>
      <c r="S275" s="55">
        <v>-31.368803533741101</v>
      </c>
      <c r="T275" s="55">
        <v>65.324036013836505</v>
      </c>
      <c r="U275" s="54">
        <v>46.041178267360799</v>
      </c>
      <c r="V275" s="54">
        <v>3.8904489598693401</v>
      </c>
      <c r="W275" s="54">
        <v>58.1952919941834</v>
      </c>
      <c r="X275" s="52" t="s">
        <v>1204</v>
      </c>
      <c r="Y275" s="56"/>
      <c r="Z275" s="56"/>
      <c r="AA275" s="52" t="b">
        <v>0</v>
      </c>
      <c r="AB275" s="52" t="s">
        <v>165</v>
      </c>
      <c r="AC275" s="49" t="s">
        <v>1131</v>
      </c>
      <c r="AD275" s="52"/>
      <c r="AE275" s="52" t="s">
        <v>147</v>
      </c>
      <c r="AF275" s="56" t="s">
        <v>1132</v>
      </c>
      <c r="AG275" s="49" t="s">
        <v>1412</v>
      </c>
      <c r="AH275" s="56"/>
      <c r="AJ275" s="32"/>
    </row>
    <row r="276" spans="1:36" s="12" customFormat="1" ht="14" customHeight="1" x14ac:dyDescent="0.2">
      <c r="A276" s="49" t="s">
        <v>1136</v>
      </c>
      <c r="B276" s="54">
        <v>292</v>
      </c>
      <c r="C276" s="54">
        <v>302</v>
      </c>
      <c r="D276" s="55">
        <v>297</v>
      </c>
      <c r="E276" s="54">
        <v>58</v>
      </c>
      <c r="F276" s="54">
        <v>7.8</v>
      </c>
      <c r="G276" s="53">
        <v>14</v>
      </c>
      <c r="H276" s="54">
        <v>21.3</v>
      </c>
      <c r="I276" s="54">
        <v>18.399999999999999</v>
      </c>
      <c r="J276" s="54">
        <v>283.89999999999998</v>
      </c>
      <c r="K276" s="54">
        <v>2.9</v>
      </c>
      <c r="L276" s="55">
        <v>-38.6</v>
      </c>
      <c r="M276" s="55">
        <v>340.7</v>
      </c>
      <c r="N276" s="54"/>
      <c r="O276" s="54"/>
      <c r="P276" s="54">
        <v>617.45469474481399</v>
      </c>
      <c r="Q276" s="54">
        <v>1.6008976164539501</v>
      </c>
      <c r="R276" s="52">
        <v>301</v>
      </c>
      <c r="S276" s="55">
        <v>-29.569287090540598</v>
      </c>
      <c r="T276" s="55">
        <v>51.787529563401002</v>
      </c>
      <c r="U276" s="54">
        <v>46.041178267360799</v>
      </c>
      <c r="V276" s="54">
        <v>3.8904489598693401</v>
      </c>
      <c r="W276" s="54">
        <v>58.1952919941834</v>
      </c>
      <c r="X276" s="52" t="s">
        <v>1202</v>
      </c>
      <c r="Y276" s="56"/>
      <c r="Z276" s="56"/>
      <c r="AA276" s="52" t="b">
        <v>0</v>
      </c>
      <c r="AB276" s="52">
        <v>0</v>
      </c>
      <c r="AC276" s="49" t="s">
        <v>1137</v>
      </c>
      <c r="AD276" s="52">
        <v>626</v>
      </c>
      <c r="AE276" s="52" t="s">
        <v>147</v>
      </c>
      <c r="AF276" s="56" t="s">
        <v>1135</v>
      </c>
      <c r="AG276" s="49" t="s">
        <v>1105</v>
      </c>
      <c r="AH276" s="56"/>
      <c r="AJ276" s="32"/>
    </row>
    <row r="277" spans="1:36" s="12" customFormat="1" ht="14" customHeight="1" x14ac:dyDescent="0.2">
      <c r="A277" s="49" t="s">
        <v>1133</v>
      </c>
      <c r="B277" s="54">
        <v>292</v>
      </c>
      <c r="C277" s="54">
        <v>302</v>
      </c>
      <c r="D277" s="55">
        <v>297</v>
      </c>
      <c r="E277" s="54">
        <v>58.4</v>
      </c>
      <c r="F277" s="54">
        <v>8.8000000000000007</v>
      </c>
      <c r="G277" s="53">
        <v>4</v>
      </c>
      <c r="H277" s="54">
        <v>21.7</v>
      </c>
      <c r="I277" s="54">
        <v>26.2</v>
      </c>
      <c r="J277" s="54">
        <v>166</v>
      </c>
      <c r="K277" s="54">
        <v>7.1</v>
      </c>
      <c r="L277" s="55">
        <v>-42.5</v>
      </c>
      <c r="M277" s="55">
        <v>339.6</v>
      </c>
      <c r="N277" s="54"/>
      <c r="O277" s="54"/>
      <c r="P277" s="54">
        <v>312.88779744674804</v>
      </c>
      <c r="Q277" s="54">
        <v>5.2023862057016128</v>
      </c>
      <c r="R277" s="52">
        <v>301</v>
      </c>
      <c r="S277" s="55">
        <v>-32.801164626246702</v>
      </c>
      <c r="T277" s="55">
        <v>54.5203844496179</v>
      </c>
      <c r="U277" s="54">
        <v>46.041178267360799</v>
      </c>
      <c r="V277" s="54">
        <v>3.8904489598693401</v>
      </c>
      <c r="W277" s="54">
        <v>58.1952919941834</v>
      </c>
      <c r="X277" s="52" t="s">
        <v>1202</v>
      </c>
      <c r="Y277" s="56"/>
      <c r="Z277" s="56"/>
      <c r="AA277" s="52" t="b">
        <v>0</v>
      </c>
      <c r="AB277" s="52" t="s">
        <v>31</v>
      </c>
      <c r="AC277" s="49" t="s">
        <v>1134</v>
      </c>
      <c r="AD277" s="52">
        <v>175</v>
      </c>
      <c r="AE277" s="52" t="s">
        <v>147</v>
      </c>
      <c r="AF277" s="56" t="s">
        <v>1135</v>
      </c>
      <c r="AG277" s="49"/>
      <c r="AH277" s="56"/>
      <c r="AJ277" s="32"/>
    </row>
    <row r="278" spans="1:36" s="17" customFormat="1" ht="14" customHeight="1" x14ac:dyDescent="0.2">
      <c r="A278" s="49" t="s">
        <v>1138</v>
      </c>
      <c r="B278" s="54">
        <v>285</v>
      </c>
      <c r="C278" s="54">
        <v>309</v>
      </c>
      <c r="D278" s="55">
        <v>297</v>
      </c>
      <c r="E278" s="54">
        <v>57.5</v>
      </c>
      <c r="F278" s="54">
        <v>-1.8</v>
      </c>
      <c r="G278" s="53">
        <v>1</v>
      </c>
      <c r="H278" s="54">
        <v>12.5</v>
      </c>
      <c r="I278" s="54">
        <v>19.100000000000001</v>
      </c>
      <c r="J278" s="54">
        <v>184</v>
      </c>
      <c r="K278" s="54">
        <v>1.3</v>
      </c>
      <c r="L278" s="55">
        <v>-41.3</v>
      </c>
      <c r="M278" s="55">
        <v>341.8</v>
      </c>
      <c r="N278" s="54"/>
      <c r="O278" s="54"/>
      <c r="P278" s="54">
        <v>395.88167906383768</v>
      </c>
      <c r="Q278" s="54"/>
      <c r="R278" s="52">
        <v>301</v>
      </c>
      <c r="S278" s="55">
        <v>-30.7801395475595</v>
      </c>
      <c r="T278" s="55">
        <v>54.74466905253</v>
      </c>
      <c r="U278" s="54">
        <v>46.041178267360799</v>
      </c>
      <c r="V278" s="54">
        <v>3.8904489598693401</v>
      </c>
      <c r="W278" s="54">
        <v>58.1952919941834</v>
      </c>
      <c r="X278" s="52" t="s">
        <v>1202</v>
      </c>
      <c r="Y278" s="56"/>
      <c r="Z278" s="56"/>
      <c r="AA278" s="52" t="b">
        <v>0</v>
      </c>
      <c r="AB278" s="52" t="s">
        <v>31</v>
      </c>
      <c r="AC278" s="49" t="s">
        <v>1139</v>
      </c>
      <c r="AD278" s="52">
        <v>1535</v>
      </c>
      <c r="AE278" s="52" t="s">
        <v>147</v>
      </c>
      <c r="AF278" s="56" t="s">
        <v>1140</v>
      </c>
      <c r="AG278" s="49" t="s">
        <v>1105</v>
      </c>
      <c r="AH278" s="56" t="s">
        <v>1362</v>
      </c>
      <c r="AJ278" s="32"/>
    </row>
    <row r="279" spans="1:36" s="12" customFormat="1" ht="14" customHeight="1" x14ac:dyDescent="0.2">
      <c r="A279" s="49" t="s">
        <v>1141</v>
      </c>
      <c r="B279" s="54">
        <v>295.5</v>
      </c>
      <c r="C279" s="54">
        <v>298.89999999999998</v>
      </c>
      <c r="D279" s="55">
        <v>297.2</v>
      </c>
      <c r="E279" s="54">
        <v>48.5</v>
      </c>
      <c r="F279" s="54">
        <v>37.799999999999997</v>
      </c>
      <c r="G279" s="53">
        <v>28</v>
      </c>
      <c r="H279" s="54">
        <v>37</v>
      </c>
      <c r="I279" s="54">
        <v>25</v>
      </c>
      <c r="J279" s="54">
        <v>108</v>
      </c>
      <c r="K279" s="54">
        <v>3</v>
      </c>
      <c r="L279" s="55">
        <v>-43</v>
      </c>
      <c r="M279" s="55">
        <v>344</v>
      </c>
      <c r="N279" s="54">
        <v>141.4</v>
      </c>
      <c r="O279" s="54">
        <v>2.2999999999999998</v>
      </c>
      <c r="P279" s="54" t="s">
        <v>1203</v>
      </c>
      <c r="Q279" s="54" t="s">
        <v>1203</v>
      </c>
      <c r="R279" s="52">
        <v>301</v>
      </c>
      <c r="S279" s="55">
        <v>-30.719056835665899</v>
      </c>
      <c r="T279" s="55">
        <v>57.484934203403398</v>
      </c>
      <c r="U279" s="54">
        <v>46.041178267360799</v>
      </c>
      <c r="V279" s="54">
        <v>3.8904489598693401</v>
      </c>
      <c r="W279" s="54">
        <v>58.1952919941834</v>
      </c>
      <c r="X279" s="52" t="s">
        <v>1204</v>
      </c>
      <c r="Y279" s="56"/>
      <c r="Z279" s="56"/>
      <c r="AA279" s="52" t="b">
        <v>0</v>
      </c>
      <c r="AB279" s="52" t="s">
        <v>165</v>
      </c>
      <c r="AC279" s="49" t="s">
        <v>1142</v>
      </c>
      <c r="AD279" s="52"/>
      <c r="AE279" s="52" t="s">
        <v>147</v>
      </c>
      <c r="AF279" s="56" t="s">
        <v>1132</v>
      </c>
      <c r="AG279" s="49" t="s">
        <v>1413</v>
      </c>
      <c r="AH279" s="56"/>
      <c r="AJ279" s="32"/>
    </row>
    <row r="280" spans="1:36" s="12" customFormat="1" ht="14" customHeight="1" x14ac:dyDescent="0.2">
      <c r="A280" s="49" t="s">
        <v>1147</v>
      </c>
      <c r="B280" s="54">
        <v>296</v>
      </c>
      <c r="C280" s="54">
        <v>302</v>
      </c>
      <c r="D280" s="55">
        <v>299</v>
      </c>
      <c r="E280" s="54">
        <v>58.5</v>
      </c>
      <c r="F280" s="54">
        <v>13.5</v>
      </c>
      <c r="G280" s="53">
        <v>5</v>
      </c>
      <c r="H280" s="54">
        <v>17</v>
      </c>
      <c r="I280" s="54">
        <v>2</v>
      </c>
      <c r="J280" s="54">
        <v>467</v>
      </c>
      <c r="K280" s="54">
        <v>4</v>
      </c>
      <c r="L280" s="55">
        <v>-31</v>
      </c>
      <c r="M280" s="55">
        <v>354</v>
      </c>
      <c r="N280" s="54"/>
      <c r="O280" s="54"/>
      <c r="P280" s="54">
        <v>1165.5810987321424</v>
      </c>
      <c r="Q280" s="54">
        <v>2.2422057619459608</v>
      </c>
      <c r="R280" s="52">
        <v>301</v>
      </c>
      <c r="S280" s="55">
        <v>-16.556059287706798</v>
      </c>
      <c r="T280" s="55">
        <v>54.690514368309103</v>
      </c>
      <c r="U280" s="54">
        <v>46.041178267360799</v>
      </c>
      <c r="V280" s="54">
        <v>3.8904489598693401</v>
      </c>
      <c r="W280" s="54">
        <v>58.1952919941834</v>
      </c>
      <c r="X280" s="52" t="s">
        <v>1202</v>
      </c>
      <c r="Y280" s="56"/>
      <c r="Z280" s="56"/>
      <c r="AA280" s="52" t="b">
        <v>0</v>
      </c>
      <c r="AB280" s="52">
        <v>0</v>
      </c>
      <c r="AC280" s="49" t="s">
        <v>999</v>
      </c>
      <c r="AD280" s="52">
        <v>2211</v>
      </c>
      <c r="AE280" s="52" t="s">
        <v>147</v>
      </c>
      <c r="AF280" s="56" t="s">
        <v>1148</v>
      </c>
      <c r="AG280" s="49"/>
      <c r="AH280" s="56"/>
      <c r="AJ280" s="32"/>
    </row>
    <row r="281" spans="1:36" s="12" customFormat="1" ht="14" customHeight="1" x14ac:dyDescent="0.15">
      <c r="A281" s="49" t="s">
        <v>1149</v>
      </c>
      <c r="B281" s="54"/>
      <c r="C281" s="54"/>
      <c r="D281" s="55">
        <v>299</v>
      </c>
      <c r="E281" s="54">
        <v>48.4</v>
      </c>
      <c r="F281" s="54">
        <v>38.22</v>
      </c>
      <c r="G281" s="53">
        <v>50</v>
      </c>
      <c r="H281" s="54">
        <v>32</v>
      </c>
      <c r="I281" s="54">
        <v>29.5</v>
      </c>
      <c r="J281" s="54">
        <v>87.4</v>
      </c>
      <c r="K281" s="54">
        <v>2.2000000000000002</v>
      </c>
      <c r="L281" s="55">
        <v>-48.2</v>
      </c>
      <c r="M281" s="55">
        <v>348.3</v>
      </c>
      <c r="N281" s="54">
        <v>87.4</v>
      </c>
      <c r="O281" s="54">
        <v>1.7</v>
      </c>
      <c r="P281" s="61" t="s">
        <v>1203</v>
      </c>
      <c r="Q281" s="61" t="s">
        <v>1203</v>
      </c>
      <c r="R281" s="52">
        <v>301</v>
      </c>
      <c r="S281" s="55">
        <v>-31.974060020463401</v>
      </c>
      <c r="T281" s="55">
        <v>64.362740243361003</v>
      </c>
      <c r="U281" s="54">
        <v>46.041178267360799</v>
      </c>
      <c r="V281" s="54">
        <v>3.8904489598693401</v>
      </c>
      <c r="W281" s="54">
        <v>58.1952919941834</v>
      </c>
      <c r="X281" s="52" t="s">
        <v>1204</v>
      </c>
      <c r="Y281" s="56"/>
      <c r="Z281" s="56"/>
      <c r="AA281" s="52" t="b">
        <v>0</v>
      </c>
      <c r="AB281" s="52" t="s">
        <v>31</v>
      </c>
      <c r="AC281" s="49" t="s">
        <v>1131</v>
      </c>
      <c r="AD281" s="52"/>
      <c r="AE281" s="52" t="s">
        <v>147</v>
      </c>
      <c r="AF281" s="56"/>
      <c r="AG281" s="49" t="s">
        <v>1150</v>
      </c>
      <c r="AH281" s="56"/>
      <c r="AJ281" s="32"/>
    </row>
    <row r="282" spans="1:36" s="12" customFormat="1" ht="14" customHeight="1" x14ac:dyDescent="0.2">
      <c r="A282" s="49" t="s">
        <v>1155</v>
      </c>
      <c r="B282" s="54">
        <v>298.89999999999998</v>
      </c>
      <c r="C282" s="54">
        <v>303.7</v>
      </c>
      <c r="D282" s="55">
        <v>301.3</v>
      </c>
      <c r="E282" s="54">
        <v>48.35</v>
      </c>
      <c r="F282" s="54">
        <v>38.35</v>
      </c>
      <c r="G282" s="53">
        <v>86</v>
      </c>
      <c r="H282" s="54">
        <v>35.5</v>
      </c>
      <c r="I282" s="54">
        <v>33</v>
      </c>
      <c r="J282" s="54">
        <v>58.4</v>
      </c>
      <c r="K282" s="54">
        <v>2</v>
      </c>
      <c r="L282" s="55">
        <v>-48.2</v>
      </c>
      <c r="M282" s="55">
        <v>342.3</v>
      </c>
      <c r="N282" s="54">
        <v>69.3</v>
      </c>
      <c r="O282" s="54">
        <v>1.8</v>
      </c>
      <c r="P282" s="54" t="s">
        <v>1203</v>
      </c>
      <c r="Q282" s="54" t="s">
        <v>1203</v>
      </c>
      <c r="R282" s="52">
        <v>301</v>
      </c>
      <c r="S282" s="55">
        <v>-35.015707660570797</v>
      </c>
      <c r="T282" s="55">
        <v>61.250073449955401</v>
      </c>
      <c r="U282" s="54">
        <v>46.041178267360799</v>
      </c>
      <c r="V282" s="54">
        <v>3.8904489598693401</v>
      </c>
      <c r="W282" s="54">
        <v>58.1952919941834</v>
      </c>
      <c r="X282" s="52" t="s">
        <v>1204</v>
      </c>
      <c r="Y282" s="50">
        <v>0.7</v>
      </c>
      <c r="Z282" s="50">
        <v>1.96</v>
      </c>
      <c r="AA282" s="52" t="s">
        <v>211</v>
      </c>
      <c r="AB282" s="52" t="s">
        <v>211</v>
      </c>
      <c r="AC282" s="49" t="s">
        <v>1131</v>
      </c>
      <c r="AD282" s="52"/>
      <c r="AE282" s="52" t="s">
        <v>147</v>
      </c>
      <c r="AF282" s="56" t="s">
        <v>1154</v>
      </c>
      <c r="AG282" s="49" t="s">
        <v>1156</v>
      </c>
      <c r="AH282" s="56"/>
      <c r="AJ282" s="32"/>
    </row>
    <row r="283" spans="1:36" s="12" customFormat="1" ht="14" customHeight="1" x14ac:dyDescent="0.15">
      <c r="A283" s="49" t="s">
        <v>1141</v>
      </c>
      <c r="B283" s="54">
        <v>298.89999999999998</v>
      </c>
      <c r="C283" s="54">
        <v>303.7</v>
      </c>
      <c r="D283" s="55">
        <v>301.3</v>
      </c>
      <c r="E283" s="54">
        <v>48.5</v>
      </c>
      <c r="F283" s="54">
        <v>37.799999999999997</v>
      </c>
      <c r="G283" s="53">
        <v>24</v>
      </c>
      <c r="H283" s="54">
        <v>28</v>
      </c>
      <c r="I283" s="54">
        <v>13</v>
      </c>
      <c r="J283" s="54">
        <v>67</v>
      </c>
      <c r="K283" s="54">
        <v>4</v>
      </c>
      <c r="L283" s="55">
        <v>-42</v>
      </c>
      <c r="M283" s="55">
        <v>359</v>
      </c>
      <c r="N283" s="54">
        <v>81.400000000000006</v>
      </c>
      <c r="O283" s="54">
        <v>3.3</v>
      </c>
      <c r="P283" s="61" t="s">
        <v>1203</v>
      </c>
      <c r="Q283" s="61" t="s">
        <v>1203</v>
      </c>
      <c r="R283" s="52">
        <v>301</v>
      </c>
      <c r="S283" s="55">
        <v>-22.273250224581599</v>
      </c>
      <c r="T283" s="55">
        <v>65.528686196675196</v>
      </c>
      <c r="U283" s="54">
        <v>46.041178267360799</v>
      </c>
      <c r="V283" s="54">
        <v>3.8904489598693401</v>
      </c>
      <c r="W283" s="54">
        <v>58.1952919941834</v>
      </c>
      <c r="X283" s="52" t="s">
        <v>1204</v>
      </c>
      <c r="Y283" s="56"/>
      <c r="Z283" s="56"/>
      <c r="AA283" s="52" t="b">
        <v>0</v>
      </c>
      <c r="AB283" s="52" t="s">
        <v>165</v>
      </c>
      <c r="AC283" s="49" t="s">
        <v>1142</v>
      </c>
      <c r="AD283" s="52"/>
      <c r="AE283" s="52" t="s">
        <v>147</v>
      </c>
      <c r="AF283" s="56" t="s">
        <v>1154</v>
      </c>
      <c r="AG283" s="49" t="s">
        <v>1153</v>
      </c>
      <c r="AH283" s="56"/>
      <c r="AJ283" s="32"/>
    </row>
    <row r="284" spans="1:36" s="12" customFormat="1" ht="14" customHeight="1" x14ac:dyDescent="0.2">
      <c r="A284" s="49" t="s">
        <v>1157</v>
      </c>
      <c r="B284" s="54"/>
      <c r="C284" s="54"/>
      <c r="D284" s="55">
        <v>303</v>
      </c>
      <c r="E284" s="54">
        <v>54.5</v>
      </c>
      <c r="F284" s="54">
        <v>358.2</v>
      </c>
      <c r="G284" s="53">
        <v>1</v>
      </c>
      <c r="H284" s="54"/>
      <c r="I284" s="54"/>
      <c r="J284" s="54">
        <v>174</v>
      </c>
      <c r="K284" s="54">
        <v>3</v>
      </c>
      <c r="L284" s="55">
        <v>-49</v>
      </c>
      <c r="M284" s="55">
        <v>349</v>
      </c>
      <c r="N284" s="54"/>
      <c r="O284" s="54"/>
      <c r="P284" s="54">
        <v>435</v>
      </c>
      <c r="Q284" s="54"/>
      <c r="R284" s="52">
        <v>301</v>
      </c>
      <c r="S284" s="55">
        <v>-32.162899110876197</v>
      </c>
      <c r="T284" s="55">
        <v>65.430432947849098</v>
      </c>
      <c r="U284" s="54">
        <v>46.041178267360799</v>
      </c>
      <c r="V284" s="54">
        <v>3.8904489598693401</v>
      </c>
      <c r="W284" s="54">
        <v>58.1952919941834</v>
      </c>
      <c r="X284" s="52" t="s">
        <v>1202</v>
      </c>
      <c r="Y284" s="56"/>
      <c r="Z284" s="56"/>
      <c r="AA284" s="52" t="b">
        <v>0</v>
      </c>
      <c r="AB284" s="52" t="s">
        <v>31</v>
      </c>
      <c r="AC284" s="49" t="s">
        <v>1158</v>
      </c>
      <c r="AD284" s="52">
        <v>180</v>
      </c>
      <c r="AE284" s="52" t="s">
        <v>147</v>
      </c>
      <c r="AF284" s="56"/>
      <c r="AG284" s="49" t="s">
        <v>1159</v>
      </c>
      <c r="AH284" s="56"/>
      <c r="AJ284" s="32"/>
    </row>
    <row r="285" spans="1:36" s="17" customFormat="1" ht="14" customHeight="1" x14ac:dyDescent="0.2">
      <c r="A285" s="49" t="s">
        <v>1164</v>
      </c>
      <c r="B285" s="54"/>
      <c r="C285" s="54"/>
      <c r="D285" s="55">
        <v>305</v>
      </c>
      <c r="E285" s="54">
        <v>56.2</v>
      </c>
      <c r="F285" s="54">
        <v>355</v>
      </c>
      <c r="G285" s="53">
        <v>3</v>
      </c>
      <c r="H285" s="54">
        <v>2</v>
      </c>
      <c r="I285" s="54">
        <v>9</v>
      </c>
      <c r="J285" s="54">
        <v>240.9</v>
      </c>
      <c r="K285" s="54">
        <v>5.2</v>
      </c>
      <c r="L285" s="55">
        <v>-38.299999999999997</v>
      </c>
      <c r="M285" s="55">
        <v>354</v>
      </c>
      <c r="N285" s="54"/>
      <c r="O285" s="54"/>
      <c r="P285" s="54">
        <v>582.51585639594555</v>
      </c>
      <c r="Q285" s="54">
        <v>5.1124518243800381</v>
      </c>
      <c r="R285" s="52">
        <v>301</v>
      </c>
      <c r="S285" s="55">
        <v>-22.0455298557495</v>
      </c>
      <c r="T285" s="55">
        <v>59.7919678608365</v>
      </c>
      <c r="U285" s="54">
        <v>46.041178267360799</v>
      </c>
      <c r="V285" s="54">
        <v>3.8904489598693401</v>
      </c>
      <c r="W285" s="54">
        <v>58.1952919941834</v>
      </c>
      <c r="X285" s="52" t="s">
        <v>1202</v>
      </c>
      <c r="Y285" s="56"/>
      <c r="Z285" s="56"/>
      <c r="AA285" s="52" t="b">
        <v>0</v>
      </c>
      <c r="AB285" s="52" t="s">
        <v>31</v>
      </c>
      <c r="AC285" s="49" t="s">
        <v>1165</v>
      </c>
      <c r="AD285" s="52">
        <v>2447</v>
      </c>
      <c r="AE285" s="52" t="s">
        <v>147</v>
      </c>
      <c r="AF285" s="56"/>
      <c r="AG285" s="49"/>
      <c r="AH285" s="56"/>
      <c r="AJ285" s="32"/>
    </row>
    <row r="286" spans="1:36" s="12" customFormat="1" ht="14" customHeight="1" x14ac:dyDescent="0.15">
      <c r="A286" s="49" t="s">
        <v>1166</v>
      </c>
      <c r="B286" s="54">
        <v>302</v>
      </c>
      <c r="C286" s="54">
        <v>319</v>
      </c>
      <c r="D286" s="55">
        <v>310.5</v>
      </c>
      <c r="E286" s="54">
        <v>50</v>
      </c>
      <c r="F286" s="54">
        <v>15</v>
      </c>
      <c r="G286" s="53">
        <v>6</v>
      </c>
      <c r="H286" s="54">
        <v>24.8</v>
      </c>
      <c r="I286" s="54">
        <v>5.6</v>
      </c>
      <c r="J286" s="54">
        <v>54</v>
      </c>
      <c r="K286" s="54">
        <v>9.1999999999999993</v>
      </c>
      <c r="L286" s="55">
        <v>-38</v>
      </c>
      <c r="M286" s="55">
        <v>343</v>
      </c>
      <c r="N286" s="54">
        <v>67.7</v>
      </c>
      <c r="O286" s="54">
        <v>8.1999999999999993</v>
      </c>
      <c r="P286" s="61" t="s">
        <v>1203</v>
      </c>
      <c r="Q286" s="61" t="s">
        <v>1203</v>
      </c>
      <c r="R286" s="52">
        <v>301</v>
      </c>
      <c r="S286" s="55">
        <v>-27.847982895382</v>
      </c>
      <c r="T286" s="55">
        <v>52.710230105851899</v>
      </c>
      <c r="U286" s="54">
        <v>46.041178267360799</v>
      </c>
      <c r="V286" s="54">
        <v>3.8904489598693401</v>
      </c>
      <c r="W286" s="54">
        <v>58.1952919941834</v>
      </c>
      <c r="X286" s="52" t="s">
        <v>1204</v>
      </c>
      <c r="Y286" s="56"/>
      <c r="Z286" s="56"/>
      <c r="AA286" s="52" t="b">
        <v>1</v>
      </c>
      <c r="AB286" s="52" t="s">
        <v>165</v>
      </c>
      <c r="AC286" s="49" t="s">
        <v>1048</v>
      </c>
      <c r="AD286" s="52">
        <v>167</v>
      </c>
      <c r="AE286" s="52" t="s">
        <v>147</v>
      </c>
      <c r="AF286" s="56" t="s">
        <v>1167</v>
      </c>
      <c r="AG286" s="49" t="s">
        <v>1414</v>
      </c>
      <c r="AH286" s="56"/>
      <c r="AJ286" s="32"/>
    </row>
    <row r="287" spans="1:36" s="12" customFormat="1" ht="14" customHeight="1" x14ac:dyDescent="0.2">
      <c r="A287" s="14" t="s">
        <v>1194</v>
      </c>
      <c r="B287" s="7">
        <v>315.2</v>
      </c>
      <c r="C287" s="7">
        <v>323.39999999999998</v>
      </c>
      <c r="D287" s="13">
        <v>319.3</v>
      </c>
      <c r="E287" s="9">
        <v>48.78</v>
      </c>
      <c r="F287" s="9">
        <v>38.554000000000002</v>
      </c>
      <c r="G287" s="6">
        <v>84</v>
      </c>
      <c r="H287" s="9">
        <v>43.4</v>
      </c>
      <c r="I287" s="9">
        <v>22.4</v>
      </c>
      <c r="J287" s="9">
        <v>29.1</v>
      </c>
      <c r="K287" s="9">
        <v>2.9</v>
      </c>
      <c r="L287" s="13">
        <v>-38.4</v>
      </c>
      <c r="M287" s="6">
        <v>339.5</v>
      </c>
      <c r="N287" s="9">
        <v>35.4</v>
      </c>
      <c r="O287" s="9">
        <v>2.6</v>
      </c>
      <c r="P287" s="9" t="s">
        <v>1203</v>
      </c>
      <c r="Q287" s="9" t="s">
        <v>1203</v>
      </c>
      <c r="R287" s="7">
        <v>301</v>
      </c>
      <c r="S287" s="13">
        <v>-30.1207273712538</v>
      </c>
      <c r="T287" s="13">
        <v>50.881288269650497</v>
      </c>
      <c r="U287" s="9">
        <v>46.041178267360799</v>
      </c>
      <c r="V287" s="9">
        <v>3.8904489598693401</v>
      </c>
      <c r="W287" s="9">
        <v>58.1952919941834</v>
      </c>
      <c r="X287" s="7" t="s">
        <v>1204</v>
      </c>
      <c r="Y287" s="7">
        <v>0.65</v>
      </c>
      <c r="Z287" s="7">
        <v>1.7</v>
      </c>
      <c r="AA287" s="7" t="s">
        <v>152</v>
      </c>
      <c r="AB287" s="7">
        <v>0</v>
      </c>
      <c r="AC287" s="14" t="s">
        <v>1131</v>
      </c>
      <c r="AD287" s="7"/>
      <c r="AE287" s="7" t="s">
        <v>147</v>
      </c>
      <c r="AF287" s="10" t="s">
        <v>1195</v>
      </c>
      <c r="AG287" s="14" t="s">
        <v>1156</v>
      </c>
      <c r="AH287" s="10"/>
      <c r="AJ287" s="32"/>
    </row>
    <row r="288" spans="1:36" s="12" customFormat="1" ht="14" customHeight="1" x14ac:dyDescent="0.2">
      <c r="A288" s="49" t="s">
        <v>137</v>
      </c>
      <c r="B288" s="50">
        <v>2.61</v>
      </c>
      <c r="C288" s="50">
        <v>8.1999999999999993</v>
      </c>
      <c r="D288" s="51">
        <f>AVERAGE(B288,C288)</f>
        <v>5.4049999999999994</v>
      </c>
      <c r="E288" s="52">
        <v>37.82</v>
      </c>
      <c r="F288" s="52">
        <v>358.47</v>
      </c>
      <c r="G288" s="53">
        <v>10</v>
      </c>
      <c r="H288" s="54"/>
      <c r="I288" s="54"/>
      <c r="J288" s="54"/>
      <c r="K288" s="54"/>
      <c r="L288" s="55">
        <v>-87.078484053644999</v>
      </c>
      <c r="M288" s="55">
        <v>247.84487113583549</v>
      </c>
      <c r="N288" s="54">
        <v>5.5125132113345403</v>
      </c>
      <c r="O288" s="54">
        <v>22.640751980071101</v>
      </c>
      <c r="P288" s="54"/>
      <c r="Q288" s="54"/>
      <c r="R288" s="52">
        <v>304</v>
      </c>
      <c r="S288" s="55">
        <v>-87.640805936095404</v>
      </c>
      <c r="T288" s="55">
        <v>247.37732810667501</v>
      </c>
      <c r="U288" s="54">
        <v>18.589484976207402</v>
      </c>
      <c r="V288" s="54">
        <v>-19.305042799687801</v>
      </c>
      <c r="W288" s="54">
        <v>0.594125733188407</v>
      </c>
      <c r="X288" s="52" t="s">
        <v>1202</v>
      </c>
      <c r="Y288" s="52"/>
      <c r="Z288" s="52"/>
      <c r="AA288" s="52" t="b">
        <v>0</v>
      </c>
      <c r="AB288" s="52">
        <v>0</v>
      </c>
      <c r="AC288" s="49" t="s">
        <v>138</v>
      </c>
      <c r="AD288" s="52"/>
      <c r="AE288" s="52" t="s">
        <v>32</v>
      </c>
      <c r="AF288" s="56"/>
      <c r="AG288" s="49"/>
      <c r="AH288" s="56"/>
      <c r="AJ288" s="32"/>
    </row>
    <row r="289" spans="1:36" s="12" customFormat="1" ht="14" customHeight="1" x14ac:dyDescent="0.2">
      <c r="A289" s="14" t="s">
        <v>144</v>
      </c>
      <c r="B289" s="9">
        <v>9.1</v>
      </c>
      <c r="C289" s="9">
        <v>10.3</v>
      </c>
      <c r="D289" s="13">
        <v>9.6999999999999993</v>
      </c>
      <c r="E289" s="9">
        <v>40.26</v>
      </c>
      <c r="F289" s="9">
        <v>-1.1299999999999999</v>
      </c>
      <c r="G289" s="34">
        <v>246</v>
      </c>
      <c r="H289" s="9">
        <v>358.3</v>
      </c>
      <c r="I289" s="9">
        <v>63</v>
      </c>
      <c r="J289" s="9">
        <v>22.6</v>
      </c>
      <c r="K289" s="9">
        <v>1.9</v>
      </c>
      <c r="L289" s="13">
        <v>-84.4</v>
      </c>
      <c r="M289" s="13">
        <v>341</v>
      </c>
      <c r="N289" s="9">
        <v>16.5</v>
      </c>
      <c r="O289" s="9">
        <v>2.2999999999999998</v>
      </c>
      <c r="P289" s="9" t="s">
        <v>1203</v>
      </c>
      <c r="Q289" s="9" t="s">
        <v>1203</v>
      </c>
      <c r="R289" s="30">
        <v>304</v>
      </c>
      <c r="S289" s="13">
        <v>-84.314337643362407</v>
      </c>
      <c r="T289" s="13">
        <v>350.89532129569</v>
      </c>
      <c r="U289" s="9">
        <v>15.060646282478899</v>
      </c>
      <c r="V289" s="9">
        <v>-19.180258235139199</v>
      </c>
      <c r="W289" s="9">
        <v>0.98897077804323497</v>
      </c>
      <c r="X289" s="7" t="s">
        <v>1204</v>
      </c>
      <c r="Y289" s="7">
        <v>0.49</v>
      </c>
      <c r="Z289" s="7">
        <v>6.5</v>
      </c>
      <c r="AA289" s="7" t="s">
        <v>148</v>
      </c>
      <c r="AB289" s="7">
        <v>0</v>
      </c>
      <c r="AC289" s="14" t="s">
        <v>145</v>
      </c>
      <c r="AD289" s="7"/>
      <c r="AE289" s="7" t="s">
        <v>147</v>
      </c>
      <c r="AF289" s="10" t="s">
        <v>1281</v>
      </c>
      <c r="AG289" s="14" t="s">
        <v>146</v>
      </c>
      <c r="AH289" s="10"/>
      <c r="AJ289" s="32"/>
    </row>
    <row r="290" spans="1:36" s="12" customFormat="1" ht="14" customHeight="1" x14ac:dyDescent="0.2">
      <c r="A290" s="14" t="s">
        <v>149</v>
      </c>
      <c r="B290" s="9">
        <v>9.4</v>
      </c>
      <c r="C290" s="9">
        <v>10.6</v>
      </c>
      <c r="D290" s="13">
        <v>10</v>
      </c>
      <c r="E290" s="9">
        <v>40.200000000000003</v>
      </c>
      <c r="F290" s="9">
        <v>-1.1000000000000001</v>
      </c>
      <c r="G290" s="34">
        <v>81</v>
      </c>
      <c r="H290" s="9">
        <v>12.7</v>
      </c>
      <c r="I290" s="9">
        <v>52.2</v>
      </c>
      <c r="J290" s="9">
        <v>19.100000000000001</v>
      </c>
      <c r="K290" s="9">
        <v>3.7</v>
      </c>
      <c r="L290" s="13">
        <v>-79</v>
      </c>
      <c r="M290" s="6">
        <v>293.89999999999998</v>
      </c>
      <c r="N290" s="9">
        <v>15.4</v>
      </c>
      <c r="O290" s="9">
        <v>4.0999999999999996</v>
      </c>
      <c r="P290" s="9" t="s">
        <v>1203</v>
      </c>
      <c r="Q290" s="9" t="s">
        <v>1203</v>
      </c>
      <c r="R290" s="7">
        <v>304</v>
      </c>
      <c r="S290" s="13">
        <v>-79.693899250058806</v>
      </c>
      <c r="T290" s="13">
        <v>297.851797178411</v>
      </c>
      <c r="U290" s="9">
        <v>14.6611722643503</v>
      </c>
      <c r="V290" s="9">
        <v>-19.1803662379352</v>
      </c>
      <c r="W290" s="9">
        <v>1.0148076664804999</v>
      </c>
      <c r="X290" s="7" t="s">
        <v>1204</v>
      </c>
      <c r="Y290" s="7">
        <v>0.93</v>
      </c>
      <c r="Z290" s="7">
        <v>4.34</v>
      </c>
      <c r="AA290" s="7" t="s">
        <v>152</v>
      </c>
      <c r="AB290" s="7">
        <v>0</v>
      </c>
      <c r="AC290" s="14" t="s">
        <v>150</v>
      </c>
      <c r="AD290" s="7"/>
      <c r="AE290" s="7" t="s">
        <v>147</v>
      </c>
      <c r="AF290" s="10" t="s">
        <v>151</v>
      </c>
      <c r="AG290" s="14" t="s">
        <v>146</v>
      </c>
      <c r="AH290" s="10"/>
      <c r="AJ290" s="32"/>
    </row>
    <row r="291" spans="1:36" s="17" customFormat="1" ht="14" customHeight="1" x14ac:dyDescent="0.2">
      <c r="A291" s="83" t="s">
        <v>210</v>
      </c>
      <c r="B291" s="84">
        <v>21</v>
      </c>
      <c r="C291" s="84">
        <v>25</v>
      </c>
      <c r="D291" s="85">
        <v>23</v>
      </c>
      <c r="E291" s="86">
        <v>42.4</v>
      </c>
      <c r="F291" s="86">
        <v>-0.9</v>
      </c>
      <c r="G291" s="87">
        <v>139</v>
      </c>
      <c r="H291" s="88">
        <v>344.5</v>
      </c>
      <c r="I291" s="88">
        <v>46.8</v>
      </c>
      <c r="J291" s="88">
        <v>3.9</v>
      </c>
      <c r="K291" s="88">
        <v>10.1</v>
      </c>
      <c r="L291" s="85">
        <v>-70.900000000000006</v>
      </c>
      <c r="M291" s="85">
        <v>45.3</v>
      </c>
      <c r="N291" s="54"/>
      <c r="O291" s="54"/>
      <c r="P291" s="61">
        <v>3.9944561890629791</v>
      </c>
      <c r="Q291" s="64">
        <v>6.9075799584460666</v>
      </c>
      <c r="R291" s="52">
        <v>304</v>
      </c>
      <c r="S291" s="55">
        <v>-68.7896997794128</v>
      </c>
      <c r="T291" s="55">
        <v>48.769460628530098</v>
      </c>
      <c r="U291" s="54">
        <v>19.151255692423799</v>
      </c>
      <c r="V291" s="54">
        <v>-18.120188820069998</v>
      </c>
      <c r="W291" s="54">
        <v>2.4610770187642599</v>
      </c>
      <c r="X291" s="52" t="s">
        <v>1204</v>
      </c>
      <c r="Y291" s="86">
        <v>0.93</v>
      </c>
      <c r="Z291" s="86"/>
      <c r="AA291" s="52" t="s">
        <v>211</v>
      </c>
      <c r="AB291" s="52" t="s">
        <v>211</v>
      </c>
      <c r="AC291" s="83" t="s">
        <v>1376</v>
      </c>
      <c r="AD291" s="88"/>
      <c r="AE291" s="52" t="s">
        <v>1369</v>
      </c>
      <c r="AF291" s="83" t="s">
        <v>164</v>
      </c>
      <c r="AG291" s="89"/>
      <c r="AH291" s="56"/>
      <c r="AJ291" s="32"/>
    </row>
    <row r="292" spans="1:36" s="17" customFormat="1" ht="14" customHeight="1" x14ac:dyDescent="0.2">
      <c r="A292" s="83" t="s">
        <v>257</v>
      </c>
      <c r="B292" s="84">
        <v>33</v>
      </c>
      <c r="C292" s="84">
        <v>36.4</v>
      </c>
      <c r="D292" s="90">
        <v>34.700000000000003</v>
      </c>
      <c r="E292" s="86">
        <v>42.5</v>
      </c>
      <c r="F292" s="86">
        <v>-1</v>
      </c>
      <c r="G292" s="87">
        <v>68</v>
      </c>
      <c r="H292" s="88">
        <v>4.5999999999999996</v>
      </c>
      <c r="I292" s="88">
        <v>50.8</v>
      </c>
      <c r="J292" s="88">
        <v>5.0999999999999996</v>
      </c>
      <c r="K292" s="88">
        <v>12.5</v>
      </c>
      <c r="L292" s="85">
        <v>-78.418045550518485</v>
      </c>
      <c r="M292" s="85">
        <v>339.08934205009325</v>
      </c>
      <c r="N292" s="54"/>
      <c r="O292" s="54"/>
      <c r="P292" s="61">
        <v>4.4824355513029159</v>
      </c>
      <c r="Q292" s="64">
        <v>9.2069994812032192</v>
      </c>
      <c r="R292" s="52">
        <v>304</v>
      </c>
      <c r="S292" s="55">
        <v>-77.842090934797596</v>
      </c>
      <c r="T292" s="55">
        <v>359.67805415316701</v>
      </c>
      <c r="U292" s="54">
        <v>27.5067529108521</v>
      </c>
      <c r="V292" s="54">
        <v>-18.948670590540999</v>
      </c>
      <c r="W292" s="54">
        <v>4.4209563916222896</v>
      </c>
      <c r="X292" s="52" t="s">
        <v>1204</v>
      </c>
      <c r="Y292" s="86">
        <v>0.69</v>
      </c>
      <c r="Z292" s="86"/>
      <c r="AA292" s="52" t="s">
        <v>211</v>
      </c>
      <c r="AB292" s="52" t="s">
        <v>211</v>
      </c>
      <c r="AC292" s="83" t="s">
        <v>1376</v>
      </c>
      <c r="AD292" s="88"/>
      <c r="AE292" s="52" t="s">
        <v>1369</v>
      </c>
      <c r="AF292" s="83" t="s">
        <v>164</v>
      </c>
      <c r="AG292" s="89"/>
      <c r="AH292" s="56"/>
      <c r="AJ292" s="32"/>
    </row>
    <row r="293" spans="1:36" s="17" customFormat="1" ht="14" customHeight="1" x14ac:dyDescent="0.2">
      <c r="A293" s="49" t="s">
        <v>385</v>
      </c>
      <c r="B293" s="54">
        <v>70</v>
      </c>
      <c r="C293" s="54">
        <v>74</v>
      </c>
      <c r="D293" s="55">
        <f>AVERAGE(B293:C293)</f>
        <v>72</v>
      </c>
      <c r="E293" s="50">
        <v>38.83</v>
      </c>
      <c r="F293" s="50">
        <v>-9.18</v>
      </c>
      <c r="G293" s="53">
        <v>33</v>
      </c>
      <c r="H293" s="54">
        <v>352</v>
      </c>
      <c r="I293" s="54">
        <v>40</v>
      </c>
      <c r="J293" s="54">
        <v>70.400000000000006</v>
      </c>
      <c r="K293" s="54">
        <v>3</v>
      </c>
      <c r="L293" s="55">
        <v>-72.541710424883405</v>
      </c>
      <c r="M293" s="55">
        <v>16.146087353082976</v>
      </c>
      <c r="N293" s="54"/>
      <c r="O293" s="54"/>
      <c r="P293" s="54">
        <v>91.349978725440394</v>
      </c>
      <c r="Q293" s="54">
        <v>2.6295232492478555</v>
      </c>
      <c r="R293" s="52">
        <v>304</v>
      </c>
      <c r="S293" s="55">
        <v>-68.352895167826503</v>
      </c>
      <c r="T293" s="55">
        <v>32.147888557542203</v>
      </c>
      <c r="U293" s="54">
        <v>29.367632005623101</v>
      </c>
      <c r="V293" s="54">
        <v>-18.929282039608299</v>
      </c>
      <c r="W293" s="54">
        <v>6.9928926081069802</v>
      </c>
      <c r="X293" s="52" t="s">
        <v>1202</v>
      </c>
      <c r="Y293" s="50"/>
      <c r="Z293" s="50"/>
      <c r="AA293" s="56" t="b">
        <v>0</v>
      </c>
      <c r="AB293" s="59">
        <v>0</v>
      </c>
      <c r="AC293" s="49" t="s">
        <v>1245</v>
      </c>
      <c r="AD293" s="52"/>
      <c r="AE293" s="52" t="s">
        <v>1369</v>
      </c>
      <c r="AF293" s="49" t="s">
        <v>1242</v>
      </c>
      <c r="AG293" s="49"/>
      <c r="AH293" s="49"/>
      <c r="AJ293" s="32"/>
    </row>
    <row r="294" spans="1:36" s="17" customFormat="1" ht="14" customHeight="1" x14ac:dyDescent="0.2">
      <c r="A294" s="14" t="s">
        <v>386</v>
      </c>
      <c r="B294" s="9">
        <v>70</v>
      </c>
      <c r="C294" s="9">
        <v>74</v>
      </c>
      <c r="D294" s="13">
        <f>AVERAGE(B294:C294)</f>
        <v>72</v>
      </c>
      <c r="E294" s="28">
        <v>38.83</v>
      </c>
      <c r="F294" s="28">
        <v>-9.18</v>
      </c>
      <c r="G294" s="34">
        <v>5</v>
      </c>
      <c r="H294" s="9">
        <v>351.5</v>
      </c>
      <c r="I294" s="9">
        <v>42</v>
      </c>
      <c r="J294" s="9">
        <v>59.5</v>
      </c>
      <c r="K294" s="9">
        <v>10</v>
      </c>
      <c r="L294" s="13">
        <v>-73.727336858120097</v>
      </c>
      <c r="M294" s="13">
        <v>19.570730953224995</v>
      </c>
      <c r="N294" s="9"/>
      <c r="O294" s="9"/>
      <c r="P294" s="9">
        <v>72.257842131963685</v>
      </c>
      <c r="Q294" s="9">
        <v>9.0614492648372824</v>
      </c>
      <c r="R294" s="7">
        <v>304</v>
      </c>
      <c r="S294" s="13">
        <v>-69.278440630430396</v>
      </c>
      <c r="T294" s="13">
        <v>35.5773983757514</v>
      </c>
      <c r="U294" s="9">
        <v>29.367632005623101</v>
      </c>
      <c r="V294" s="9">
        <v>-18.929282039608299</v>
      </c>
      <c r="W294" s="9">
        <v>6.9928926081069802</v>
      </c>
      <c r="X294" s="7" t="s">
        <v>1202</v>
      </c>
      <c r="Y294" s="28"/>
      <c r="Z294" s="28"/>
      <c r="AA294" s="10" t="b">
        <v>1</v>
      </c>
      <c r="AB294" s="30">
        <v>0</v>
      </c>
      <c r="AC294" s="14" t="s">
        <v>1244</v>
      </c>
      <c r="AD294" s="7"/>
      <c r="AE294" s="7" t="s">
        <v>1369</v>
      </c>
      <c r="AF294" s="14" t="s">
        <v>1242</v>
      </c>
      <c r="AG294" s="14"/>
      <c r="AH294" s="14"/>
      <c r="AJ294" s="32"/>
    </row>
    <row r="295" spans="1:36" s="12" customFormat="1" ht="14" customHeight="1" x14ac:dyDescent="0.2">
      <c r="A295" s="14" t="s">
        <v>387</v>
      </c>
      <c r="B295" s="9">
        <v>70</v>
      </c>
      <c r="C295" s="9">
        <v>74</v>
      </c>
      <c r="D295" s="13">
        <f>AVERAGE(B295:C295)</f>
        <v>72</v>
      </c>
      <c r="E295" s="28">
        <v>37.06</v>
      </c>
      <c r="F295" s="28">
        <v>-8.82</v>
      </c>
      <c r="G295" s="34">
        <v>8</v>
      </c>
      <c r="H295" s="9">
        <v>182</v>
      </c>
      <c r="I295" s="9">
        <v>-37</v>
      </c>
      <c r="J295" s="9">
        <v>73.599999999999994</v>
      </c>
      <c r="K295" s="9">
        <v>6.5</v>
      </c>
      <c r="L295" s="13">
        <v>-73.4932734286254</v>
      </c>
      <c r="M295" s="13">
        <v>344.57970659771598</v>
      </c>
      <c r="N295" s="9"/>
      <c r="O295" s="9"/>
      <c r="P295" s="9">
        <v>104.89547526642851</v>
      </c>
      <c r="Q295" s="9">
        <v>5.4333466077098471</v>
      </c>
      <c r="R295" s="7">
        <v>304</v>
      </c>
      <c r="S295" s="13">
        <v>-71.919759158526205</v>
      </c>
      <c r="T295" s="13">
        <v>7.0446448269321502</v>
      </c>
      <c r="U295" s="9">
        <v>29.367632005623101</v>
      </c>
      <c r="V295" s="9">
        <v>-18.929282039608299</v>
      </c>
      <c r="W295" s="9">
        <v>6.9928926081069802</v>
      </c>
      <c r="X295" s="7" t="s">
        <v>1202</v>
      </c>
      <c r="Y295" s="28"/>
      <c r="Z295" s="28"/>
      <c r="AA295" s="10" t="b">
        <v>1</v>
      </c>
      <c r="AB295" s="30">
        <v>0</v>
      </c>
      <c r="AC295" s="14" t="s">
        <v>1244</v>
      </c>
      <c r="AD295" s="7"/>
      <c r="AE295" s="7" t="s">
        <v>1369</v>
      </c>
      <c r="AF295" s="14" t="s">
        <v>1242</v>
      </c>
      <c r="AG295" s="14"/>
      <c r="AH295" s="14"/>
      <c r="AJ295" s="32"/>
    </row>
    <row r="296" spans="1:36" s="12" customFormat="1" ht="14" customHeight="1" x14ac:dyDescent="0.2">
      <c r="A296" s="14" t="s">
        <v>388</v>
      </c>
      <c r="B296" s="9">
        <v>70</v>
      </c>
      <c r="C296" s="9">
        <v>74</v>
      </c>
      <c r="D296" s="13">
        <f>AVERAGE(B296:C296)</f>
        <v>72</v>
      </c>
      <c r="E296" s="28">
        <v>37.06</v>
      </c>
      <c r="F296" s="28">
        <v>-8.82</v>
      </c>
      <c r="G296" s="34">
        <v>27</v>
      </c>
      <c r="H296" s="9">
        <v>181</v>
      </c>
      <c r="I296" s="9">
        <v>-42</v>
      </c>
      <c r="J296" s="9">
        <v>39.4</v>
      </c>
      <c r="K296" s="9">
        <v>4.5</v>
      </c>
      <c r="L296" s="13">
        <v>-77.148790018212097</v>
      </c>
      <c r="M296" s="13">
        <v>347.07701416248</v>
      </c>
      <c r="N296" s="9"/>
      <c r="O296" s="9"/>
      <c r="P296" s="9">
        <v>47.848050084023008</v>
      </c>
      <c r="Q296" s="9">
        <v>4.0589220184139121</v>
      </c>
      <c r="R296" s="7">
        <v>304</v>
      </c>
      <c r="S296" s="13">
        <v>-75.076423322124697</v>
      </c>
      <c r="T296" s="13">
        <v>13.9353014171495</v>
      </c>
      <c r="U296" s="9">
        <v>29.367632005623101</v>
      </c>
      <c r="V296" s="9">
        <v>-18.929282039608299</v>
      </c>
      <c r="W296" s="9">
        <v>6.9928926081069802</v>
      </c>
      <c r="X296" s="7" t="s">
        <v>1202</v>
      </c>
      <c r="Y296" s="28"/>
      <c r="Z296" s="28"/>
      <c r="AA296" s="10" t="b">
        <v>1</v>
      </c>
      <c r="AB296" s="30">
        <v>0</v>
      </c>
      <c r="AC296" s="14" t="s">
        <v>1243</v>
      </c>
      <c r="AD296" s="7"/>
      <c r="AE296" s="7" t="s">
        <v>1369</v>
      </c>
      <c r="AF296" s="14" t="s">
        <v>1242</v>
      </c>
      <c r="AG296" s="14"/>
      <c r="AH296" s="10"/>
      <c r="AJ296" s="32"/>
    </row>
    <row r="297" spans="1:36" s="12" customFormat="1" ht="14" customHeight="1" x14ac:dyDescent="0.15">
      <c r="A297" s="49" t="s">
        <v>395</v>
      </c>
      <c r="B297" s="54">
        <v>75.400000000000006</v>
      </c>
      <c r="C297" s="54">
        <v>76.099999999999994</v>
      </c>
      <c r="D297" s="55">
        <v>75.75</v>
      </c>
      <c r="E297" s="54">
        <v>37.96</v>
      </c>
      <c r="F297" s="54">
        <v>-8.85</v>
      </c>
      <c r="G297" s="53">
        <v>31</v>
      </c>
      <c r="H297" s="54">
        <v>3.9</v>
      </c>
      <c r="I297" s="54">
        <v>46.5</v>
      </c>
      <c r="J297" s="54">
        <v>209</v>
      </c>
      <c r="K297" s="54">
        <v>1.8</v>
      </c>
      <c r="L297" s="55">
        <v>-79.5</v>
      </c>
      <c r="M297" s="55">
        <v>332</v>
      </c>
      <c r="N297" s="54">
        <v>226</v>
      </c>
      <c r="O297" s="54">
        <v>1.7</v>
      </c>
      <c r="P297" s="61" t="s">
        <v>1203</v>
      </c>
      <c r="Q297" s="61" t="s">
        <v>1203</v>
      </c>
      <c r="R297" s="52">
        <v>304</v>
      </c>
      <c r="S297" s="55">
        <v>-78.534900558190401</v>
      </c>
      <c r="T297" s="55">
        <v>7.6627582332622302</v>
      </c>
      <c r="U297" s="54">
        <v>29.9459191628087</v>
      </c>
      <c r="V297" s="54">
        <v>-18.752278581261798</v>
      </c>
      <c r="W297" s="54">
        <v>7.1662025221441601</v>
      </c>
      <c r="X297" s="52" t="s">
        <v>1202</v>
      </c>
      <c r="Y297" s="50"/>
      <c r="Z297" s="50"/>
      <c r="AA297" s="56" t="b">
        <v>0</v>
      </c>
      <c r="AB297" s="59">
        <v>0</v>
      </c>
      <c r="AC297" s="49" t="s">
        <v>396</v>
      </c>
      <c r="AD297" s="52"/>
      <c r="AE297" s="52" t="s">
        <v>1369</v>
      </c>
      <c r="AF297" s="56" t="s">
        <v>397</v>
      </c>
      <c r="AG297" s="49"/>
      <c r="AH297" s="56"/>
      <c r="AJ297" s="32"/>
    </row>
    <row r="298" spans="1:36" s="12" customFormat="1" ht="14" customHeight="1" x14ac:dyDescent="0.2">
      <c r="A298" s="10" t="s">
        <v>340</v>
      </c>
      <c r="B298" s="9">
        <v>60</v>
      </c>
      <c r="C298" s="9">
        <v>68</v>
      </c>
      <c r="D298" s="13">
        <v>64</v>
      </c>
      <c r="E298" s="9">
        <v>22.5</v>
      </c>
      <c r="F298" s="9">
        <v>73.5</v>
      </c>
      <c r="G298" s="34">
        <v>16</v>
      </c>
      <c r="H298" s="9">
        <v>154</v>
      </c>
      <c r="I298" s="9">
        <v>38</v>
      </c>
      <c r="J298" s="9">
        <v>38</v>
      </c>
      <c r="K298" s="9">
        <v>5.4</v>
      </c>
      <c r="L298" s="13">
        <v>-39.200000000000003</v>
      </c>
      <c r="M298" s="13">
        <v>105.6</v>
      </c>
      <c r="N298" s="9"/>
      <c r="O298" s="9"/>
      <c r="P298" s="9">
        <v>52.530159837545916</v>
      </c>
      <c r="Q298" s="9">
        <v>5.1371856023366007</v>
      </c>
      <c r="R298" s="30">
        <v>501</v>
      </c>
      <c r="S298" s="13">
        <v>-71.592902615925397</v>
      </c>
      <c r="T298" s="13">
        <v>63.071930734166699</v>
      </c>
      <c r="U298" s="9">
        <v>-17.943781611868399</v>
      </c>
      <c r="V298" s="9">
        <v>-153.05389421551499</v>
      </c>
      <c r="W298" s="9">
        <v>38.786966347565503</v>
      </c>
      <c r="X298" s="9" t="s">
        <v>1202</v>
      </c>
      <c r="Y298" s="31"/>
      <c r="Z298" s="31"/>
      <c r="AA298" s="10" t="b">
        <v>1</v>
      </c>
      <c r="AB298" s="7">
        <v>0</v>
      </c>
      <c r="AC298" s="14" t="s">
        <v>341</v>
      </c>
      <c r="AD298" s="7">
        <v>94</v>
      </c>
      <c r="AE298" s="7" t="s">
        <v>147</v>
      </c>
      <c r="AF298" s="10" t="s">
        <v>1344</v>
      </c>
      <c r="AG298" s="14"/>
      <c r="AH298" s="10"/>
      <c r="AJ298" s="32"/>
    </row>
    <row r="299" spans="1:36" s="12" customFormat="1" ht="14" customHeight="1" x14ac:dyDescent="0.15">
      <c r="A299" s="56" t="s">
        <v>352</v>
      </c>
      <c r="B299" s="54">
        <v>64</v>
      </c>
      <c r="C299" s="54">
        <v>67</v>
      </c>
      <c r="D299" s="55">
        <v>65.5</v>
      </c>
      <c r="E299" s="54">
        <v>18.5</v>
      </c>
      <c r="F299" s="54">
        <v>73</v>
      </c>
      <c r="G299" s="53">
        <v>6</v>
      </c>
      <c r="H299" s="54">
        <v>128</v>
      </c>
      <c r="I299" s="54">
        <v>47</v>
      </c>
      <c r="J299" s="54">
        <v>156</v>
      </c>
      <c r="K299" s="54">
        <v>5.4</v>
      </c>
      <c r="L299" s="55">
        <v>-21.38</v>
      </c>
      <c r="M299" s="55">
        <v>121.23</v>
      </c>
      <c r="N299" s="54"/>
      <c r="O299" s="54"/>
      <c r="P299" s="61">
        <v>158.59623309988774</v>
      </c>
      <c r="Q299" s="61">
        <v>5.336516316864822</v>
      </c>
      <c r="R299" s="59">
        <v>501</v>
      </c>
      <c r="S299" s="55">
        <v>-59.043156646329003</v>
      </c>
      <c r="T299" s="55">
        <v>108.126265198692</v>
      </c>
      <c r="U299" s="54">
        <v>-19.340767571919798</v>
      </c>
      <c r="V299" s="54">
        <v>-156.446777561403</v>
      </c>
      <c r="W299" s="54">
        <v>40.015518025329598</v>
      </c>
      <c r="X299" s="52" t="s">
        <v>1202</v>
      </c>
      <c r="Y299" s="56"/>
      <c r="Z299" s="56"/>
      <c r="AA299" s="56" t="b">
        <v>0</v>
      </c>
      <c r="AB299" s="52">
        <v>0</v>
      </c>
      <c r="AC299" s="49" t="s">
        <v>353</v>
      </c>
      <c r="AD299" s="52"/>
      <c r="AE299" s="52" t="s">
        <v>1369</v>
      </c>
      <c r="AF299" s="49" t="s">
        <v>345</v>
      </c>
      <c r="AG299" s="49"/>
      <c r="AH299" s="56"/>
      <c r="AJ299" s="32"/>
    </row>
    <row r="300" spans="1:36" s="17" customFormat="1" ht="14" customHeight="1" x14ac:dyDescent="0.2">
      <c r="A300" s="56" t="s">
        <v>361</v>
      </c>
      <c r="B300" s="54">
        <v>64</v>
      </c>
      <c r="C300" s="54">
        <v>67</v>
      </c>
      <c r="D300" s="55">
        <v>65.5</v>
      </c>
      <c r="E300" s="54">
        <v>17.850000000000001</v>
      </c>
      <c r="F300" s="54">
        <v>73.78</v>
      </c>
      <c r="G300" s="53">
        <v>5</v>
      </c>
      <c r="H300" s="54">
        <v>151.69999999999999</v>
      </c>
      <c r="I300" s="54">
        <v>49.6</v>
      </c>
      <c r="J300" s="54">
        <v>402.7</v>
      </c>
      <c r="K300" s="54">
        <v>3.8</v>
      </c>
      <c r="L300" s="55">
        <v>-34.5</v>
      </c>
      <c r="M300" s="55">
        <v>103.6</v>
      </c>
      <c r="N300" s="54">
        <v>335</v>
      </c>
      <c r="O300" s="54">
        <v>4.2</v>
      </c>
      <c r="P300" s="54" t="s">
        <v>1203</v>
      </c>
      <c r="Q300" s="54" t="s">
        <v>1203</v>
      </c>
      <c r="R300" s="59">
        <v>501</v>
      </c>
      <c r="S300" s="55">
        <v>-68.496588334448504</v>
      </c>
      <c r="T300" s="55">
        <v>66.064884067395496</v>
      </c>
      <c r="U300" s="54">
        <v>-19.340767571919798</v>
      </c>
      <c r="V300" s="54">
        <v>-156.446777561403</v>
      </c>
      <c r="W300" s="54">
        <v>40.015518025329598</v>
      </c>
      <c r="X300" s="54" t="s">
        <v>1202</v>
      </c>
      <c r="Y300" s="62"/>
      <c r="Z300" s="62"/>
      <c r="AA300" s="56" t="b">
        <v>0</v>
      </c>
      <c r="AB300" s="52" t="s">
        <v>31</v>
      </c>
      <c r="AC300" s="49" t="s">
        <v>362</v>
      </c>
      <c r="AD300" s="52">
        <v>705</v>
      </c>
      <c r="AE300" s="52" t="s">
        <v>147</v>
      </c>
      <c r="AF300" s="56" t="s">
        <v>345</v>
      </c>
      <c r="AG300" s="49" t="s">
        <v>363</v>
      </c>
      <c r="AH300" s="56"/>
      <c r="AJ300" s="32"/>
    </row>
    <row r="301" spans="1:36" s="12" customFormat="1" ht="14" customHeight="1" x14ac:dyDescent="0.2">
      <c r="A301" s="56" t="s">
        <v>342</v>
      </c>
      <c r="B301" s="54">
        <v>64</v>
      </c>
      <c r="C301" s="54">
        <v>67</v>
      </c>
      <c r="D301" s="55">
        <v>65.5</v>
      </c>
      <c r="E301" s="54">
        <v>18</v>
      </c>
      <c r="F301" s="54">
        <v>73.5</v>
      </c>
      <c r="G301" s="53">
        <v>130</v>
      </c>
      <c r="H301" s="54">
        <v>156.19999999999999</v>
      </c>
      <c r="I301" s="54">
        <v>46</v>
      </c>
      <c r="J301" s="54">
        <v>6.4</v>
      </c>
      <c r="K301" s="54">
        <v>5.3</v>
      </c>
      <c r="L301" s="55">
        <v>-39</v>
      </c>
      <c r="M301" s="55">
        <v>100.8</v>
      </c>
      <c r="N301" s="54">
        <v>5.7</v>
      </c>
      <c r="O301" s="54">
        <v>5.7</v>
      </c>
      <c r="P301" s="54" t="s">
        <v>1203</v>
      </c>
      <c r="Q301" s="54" t="s">
        <v>1203</v>
      </c>
      <c r="R301" s="59">
        <v>501</v>
      </c>
      <c r="S301" s="55">
        <v>-70.988951433840299</v>
      </c>
      <c r="T301" s="55">
        <v>53.408611197423603</v>
      </c>
      <c r="U301" s="54">
        <v>-19.340767571919798</v>
      </c>
      <c r="V301" s="54">
        <v>-156.446777561403</v>
      </c>
      <c r="W301" s="54">
        <v>40.015518025329598</v>
      </c>
      <c r="X301" s="54" t="s">
        <v>1202</v>
      </c>
      <c r="Y301" s="62"/>
      <c r="Z301" s="62"/>
      <c r="AA301" s="56" t="b">
        <v>0</v>
      </c>
      <c r="AB301" s="52" t="s">
        <v>31</v>
      </c>
      <c r="AC301" s="49" t="s">
        <v>343</v>
      </c>
      <c r="AD301" s="52"/>
      <c r="AE301" s="52" t="s">
        <v>147</v>
      </c>
      <c r="AF301" s="56" t="s">
        <v>345</v>
      </c>
      <c r="AG301" s="49" t="s">
        <v>1349</v>
      </c>
      <c r="AH301" s="56"/>
      <c r="AJ301" s="32"/>
    </row>
    <row r="302" spans="1:36" s="19" customFormat="1" ht="14" customHeight="1" x14ac:dyDescent="0.2">
      <c r="A302" s="10" t="s">
        <v>356</v>
      </c>
      <c r="B302" s="9">
        <v>64</v>
      </c>
      <c r="C302" s="9">
        <v>67</v>
      </c>
      <c r="D302" s="13">
        <v>65.5</v>
      </c>
      <c r="E302" s="9">
        <v>17.920000000000002</v>
      </c>
      <c r="F302" s="9">
        <v>73.58</v>
      </c>
      <c r="G302" s="34">
        <v>28</v>
      </c>
      <c r="H302" s="9">
        <v>160.5</v>
      </c>
      <c r="I302" s="9">
        <v>46.8</v>
      </c>
      <c r="J302" s="9">
        <v>15.6</v>
      </c>
      <c r="K302" s="9">
        <v>6.7</v>
      </c>
      <c r="L302" s="13">
        <v>-40</v>
      </c>
      <c r="M302" s="13">
        <v>96</v>
      </c>
      <c r="N302" s="9">
        <v>12.8</v>
      </c>
      <c r="O302" s="9">
        <v>7.4</v>
      </c>
      <c r="P302" s="9" t="s">
        <v>1203</v>
      </c>
      <c r="Q302" s="9" t="s">
        <v>1203</v>
      </c>
      <c r="R302" s="30">
        <v>501</v>
      </c>
      <c r="S302" s="13">
        <v>-69.231386709349593</v>
      </c>
      <c r="T302" s="13">
        <v>43.3661171513154</v>
      </c>
      <c r="U302" s="9">
        <v>-19.340767571919798</v>
      </c>
      <c r="V302" s="9">
        <v>-156.446777561403</v>
      </c>
      <c r="W302" s="9">
        <v>40.015518025329598</v>
      </c>
      <c r="X302" s="9" t="s">
        <v>1202</v>
      </c>
      <c r="Y302" s="31"/>
      <c r="Z302" s="31"/>
      <c r="AA302" s="10" t="b">
        <v>1</v>
      </c>
      <c r="AB302" s="7">
        <v>0</v>
      </c>
      <c r="AC302" s="14" t="s">
        <v>357</v>
      </c>
      <c r="AD302" s="7">
        <v>107</v>
      </c>
      <c r="AE302" s="7" t="s">
        <v>147</v>
      </c>
      <c r="AF302" s="10" t="s">
        <v>345</v>
      </c>
      <c r="AG302" s="14" t="s">
        <v>358</v>
      </c>
      <c r="AH302" s="10"/>
      <c r="AJ302" s="32"/>
    </row>
    <row r="303" spans="1:36" s="12" customFormat="1" ht="14" customHeight="1" x14ac:dyDescent="0.2">
      <c r="A303" s="10" t="s">
        <v>359</v>
      </c>
      <c r="B303" s="9">
        <v>64</v>
      </c>
      <c r="C303" s="9">
        <v>67</v>
      </c>
      <c r="D303" s="13">
        <v>65.5</v>
      </c>
      <c r="E303" s="9">
        <v>20</v>
      </c>
      <c r="F303" s="9">
        <v>75</v>
      </c>
      <c r="G303" s="34">
        <v>16</v>
      </c>
      <c r="H303" s="9">
        <v>156.9</v>
      </c>
      <c r="I303" s="9">
        <v>44.1</v>
      </c>
      <c r="J303" s="9">
        <v>39.5</v>
      </c>
      <c r="K303" s="9">
        <v>5.9</v>
      </c>
      <c r="L303" s="13">
        <v>-38.4</v>
      </c>
      <c r="M303" s="13">
        <v>102.4</v>
      </c>
      <c r="N303" s="9">
        <v>37.9</v>
      </c>
      <c r="O303" s="9">
        <v>6.1</v>
      </c>
      <c r="P303" s="9" t="s">
        <v>1203</v>
      </c>
      <c r="Q303" s="9" t="s">
        <v>1203</v>
      </c>
      <c r="R303" s="30">
        <v>501</v>
      </c>
      <c r="S303" s="13">
        <v>-71.275256822190997</v>
      </c>
      <c r="T303" s="13">
        <v>57.600895615050398</v>
      </c>
      <c r="U303" s="9">
        <v>-19.340767571919798</v>
      </c>
      <c r="V303" s="9">
        <v>-156.446777561403</v>
      </c>
      <c r="W303" s="9">
        <v>40.015518025329598</v>
      </c>
      <c r="X303" s="9" t="s">
        <v>1202</v>
      </c>
      <c r="Y303" s="31"/>
      <c r="Z303" s="31"/>
      <c r="AA303" s="10" t="b">
        <v>1</v>
      </c>
      <c r="AB303" s="7">
        <v>0</v>
      </c>
      <c r="AC303" s="14" t="s">
        <v>360</v>
      </c>
      <c r="AD303" s="7">
        <v>393</v>
      </c>
      <c r="AE303" s="7" t="s">
        <v>147</v>
      </c>
      <c r="AF303" s="10" t="s">
        <v>345</v>
      </c>
      <c r="AG303" s="14"/>
      <c r="AH303" s="10"/>
      <c r="AJ303" s="32"/>
    </row>
    <row r="304" spans="1:36" s="12" customFormat="1" ht="14" customHeight="1" x14ac:dyDescent="0.2">
      <c r="A304" s="10" t="s">
        <v>364</v>
      </c>
      <c r="B304" s="9">
        <v>64</v>
      </c>
      <c r="C304" s="9">
        <v>67</v>
      </c>
      <c r="D304" s="13">
        <v>65.5</v>
      </c>
      <c r="E304" s="9">
        <v>21.5</v>
      </c>
      <c r="F304" s="9">
        <v>74.3</v>
      </c>
      <c r="G304" s="34">
        <v>11</v>
      </c>
      <c r="H304" s="9">
        <v>157.5</v>
      </c>
      <c r="I304" s="9">
        <v>43.7</v>
      </c>
      <c r="J304" s="9">
        <v>24.6</v>
      </c>
      <c r="K304" s="9">
        <v>9.4</v>
      </c>
      <c r="L304" s="13">
        <v>-37.200000000000003</v>
      </c>
      <c r="M304" s="13">
        <v>99.5</v>
      </c>
      <c r="N304" s="9">
        <v>23</v>
      </c>
      <c r="O304" s="9">
        <v>9.6999999999999993</v>
      </c>
      <c r="P304" s="9" t="s">
        <v>1203</v>
      </c>
      <c r="Q304" s="9" t="s">
        <v>1203</v>
      </c>
      <c r="R304" s="30">
        <v>501</v>
      </c>
      <c r="S304" s="13">
        <v>-68.941967317239701</v>
      </c>
      <c r="T304" s="13">
        <v>54.314894941614703</v>
      </c>
      <c r="U304" s="9">
        <v>-19.340767571919798</v>
      </c>
      <c r="V304" s="9">
        <v>-156.446777561403</v>
      </c>
      <c r="W304" s="9">
        <v>40.015518025329598</v>
      </c>
      <c r="X304" s="9" t="s">
        <v>1202</v>
      </c>
      <c r="Y304" s="31"/>
      <c r="Z304" s="31"/>
      <c r="AA304" s="10" t="b">
        <v>1</v>
      </c>
      <c r="AB304" s="7">
        <v>0</v>
      </c>
      <c r="AC304" s="14" t="s">
        <v>1454</v>
      </c>
      <c r="AD304" s="7">
        <v>3094</v>
      </c>
      <c r="AE304" s="7" t="s">
        <v>147</v>
      </c>
      <c r="AF304" s="10" t="s">
        <v>345</v>
      </c>
      <c r="AG304" s="14"/>
      <c r="AH304" s="10"/>
      <c r="AJ304" s="32"/>
    </row>
    <row r="305" spans="1:36" s="12" customFormat="1" ht="14" customHeight="1" x14ac:dyDescent="0.2">
      <c r="A305" s="10" t="s">
        <v>349</v>
      </c>
      <c r="B305" s="9">
        <v>64</v>
      </c>
      <c r="C305" s="9">
        <v>67</v>
      </c>
      <c r="D305" s="13">
        <v>65.5</v>
      </c>
      <c r="E305" s="9">
        <v>17.399999999999999</v>
      </c>
      <c r="F305" s="9">
        <v>73.7</v>
      </c>
      <c r="G305" s="34">
        <v>15</v>
      </c>
      <c r="H305" s="9">
        <v>154.80000000000001</v>
      </c>
      <c r="I305" s="9">
        <v>36.9</v>
      </c>
      <c r="J305" s="9">
        <v>17.2</v>
      </c>
      <c r="K305" s="9">
        <v>9.5</v>
      </c>
      <c r="L305" s="13">
        <v>-44.7</v>
      </c>
      <c r="M305" s="13">
        <v>107.8</v>
      </c>
      <c r="N305" s="9"/>
      <c r="O305" s="9"/>
      <c r="P305" s="9">
        <v>24.587509732051085</v>
      </c>
      <c r="Q305" s="9">
        <v>7.8682417623915377</v>
      </c>
      <c r="R305" s="30">
        <v>501</v>
      </c>
      <c r="S305" s="13">
        <v>-78.705880374619696</v>
      </c>
      <c r="T305" s="13">
        <v>54.1586568503742</v>
      </c>
      <c r="U305" s="9">
        <v>-19.340767571919798</v>
      </c>
      <c r="V305" s="9">
        <v>-156.446777561403</v>
      </c>
      <c r="W305" s="9">
        <v>40.015518025329598</v>
      </c>
      <c r="X305" s="9" t="s">
        <v>1202</v>
      </c>
      <c r="Y305" s="31"/>
      <c r="Z305" s="31"/>
      <c r="AA305" s="10" t="b">
        <v>1</v>
      </c>
      <c r="AB305" s="7">
        <v>0</v>
      </c>
      <c r="AC305" s="14" t="s">
        <v>343</v>
      </c>
      <c r="AD305" s="7"/>
      <c r="AE305" s="7" t="s">
        <v>147</v>
      </c>
      <c r="AF305" s="10" t="s">
        <v>345</v>
      </c>
      <c r="AG305" s="14" t="s">
        <v>1305</v>
      </c>
      <c r="AH305" s="10"/>
      <c r="AJ305" s="32"/>
    </row>
    <row r="306" spans="1:36" s="19" customFormat="1" ht="14" customHeight="1" x14ac:dyDescent="0.2">
      <c r="A306" s="10" t="s">
        <v>350</v>
      </c>
      <c r="B306" s="9">
        <v>64</v>
      </c>
      <c r="C306" s="9">
        <v>67</v>
      </c>
      <c r="D306" s="13">
        <v>65.5</v>
      </c>
      <c r="E306" s="9">
        <v>18.100000000000001</v>
      </c>
      <c r="F306" s="9">
        <v>73.599999999999994</v>
      </c>
      <c r="G306" s="34">
        <v>15</v>
      </c>
      <c r="H306" s="9">
        <v>148.5</v>
      </c>
      <c r="I306" s="9">
        <v>48.5</v>
      </c>
      <c r="J306" s="9">
        <v>30</v>
      </c>
      <c r="K306" s="9">
        <v>7.2</v>
      </c>
      <c r="L306" s="13">
        <v>-33.5</v>
      </c>
      <c r="M306" s="13">
        <v>106.7</v>
      </c>
      <c r="N306" s="9"/>
      <c r="O306" s="9"/>
      <c r="P306" s="9">
        <v>28.824724564849429</v>
      </c>
      <c r="Q306" s="9">
        <v>7.2451035150762584</v>
      </c>
      <c r="R306" s="30">
        <v>501</v>
      </c>
      <c r="S306" s="13">
        <v>-68.735523376712095</v>
      </c>
      <c r="T306" s="13">
        <v>73.604160831890894</v>
      </c>
      <c r="U306" s="9">
        <v>-19.340767571919798</v>
      </c>
      <c r="V306" s="9">
        <v>-156.446777561403</v>
      </c>
      <c r="W306" s="9">
        <v>40.015518025329598</v>
      </c>
      <c r="X306" s="9" t="s">
        <v>1202</v>
      </c>
      <c r="Y306" s="31"/>
      <c r="Z306" s="31"/>
      <c r="AA306" s="10" t="b">
        <v>1</v>
      </c>
      <c r="AB306" s="7">
        <v>0</v>
      </c>
      <c r="AC306" s="14" t="s">
        <v>343</v>
      </c>
      <c r="AD306" s="7"/>
      <c r="AE306" s="7" t="s">
        <v>147</v>
      </c>
      <c r="AF306" s="10" t="s">
        <v>345</v>
      </c>
      <c r="AG306" s="14" t="s">
        <v>1305</v>
      </c>
      <c r="AH306" s="10"/>
      <c r="AJ306" s="32"/>
    </row>
    <row r="307" spans="1:36" s="19" customFormat="1" ht="14" customHeight="1" x14ac:dyDescent="0.2">
      <c r="A307" s="10" t="s">
        <v>348</v>
      </c>
      <c r="B307" s="9">
        <v>64</v>
      </c>
      <c r="C307" s="9">
        <v>67</v>
      </c>
      <c r="D307" s="13">
        <v>65.5</v>
      </c>
      <c r="E307" s="9">
        <v>17.899999999999999</v>
      </c>
      <c r="F307" s="9">
        <v>73.8</v>
      </c>
      <c r="G307" s="34">
        <v>16</v>
      </c>
      <c r="H307" s="9">
        <v>168.3</v>
      </c>
      <c r="I307" s="9">
        <v>53.5</v>
      </c>
      <c r="J307" s="9">
        <v>18.600000000000001</v>
      </c>
      <c r="K307" s="9">
        <v>8.8000000000000007</v>
      </c>
      <c r="L307" s="13">
        <v>-36.799999999999997</v>
      </c>
      <c r="M307" s="13">
        <v>85.9</v>
      </c>
      <c r="N307" s="9"/>
      <c r="O307" s="9"/>
      <c r="P307" s="37">
        <v>14.673045677962458</v>
      </c>
      <c r="Q307" s="38">
        <v>9.9654826788152526</v>
      </c>
      <c r="R307" s="30">
        <v>501</v>
      </c>
      <c r="S307" s="13">
        <v>-61.316502848713199</v>
      </c>
      <c r="T307" s="13">
        <v>35.655997931700199</v>
      </c>
      <c r="U307" s="9">
        <v>-19.340767571919798</v>
      </c>
      <c r="V307" s="9">
        <v>-156.446777561403</v>
      </c>
      <c r="W307" s="9">
        <v>40.015518025329598</v>
      </c>
      <c r="X307" s="9" t="s">
        <v>1202</v>
      </c>
      <c r="Y307" s="31"/>
      <c r="Z307" s="31"/>
      <c r="AA307" s="10" t="b">
        <v>1</v>
      </c>
      <c r="AB307" s="7">
        <v>0</v>
      </c>
      <c r="AC307" s="14" t="s">
        <v>343</v>
      </c>
      <c r="AD307" s="7"/>
      <c r="AE307" s="7" t="s">
        <v>147</v>
      </c>
      <c r="AF307" s="10" t="s">
        <v>345</v>
      </c>
      <c r="AG307" s="14" t="s">
        <v>1305</v>
      </c>
      <c r="AH307" s="10"/>
      <c r="AJ307" s="32"/>
    </row>
    <row r="308" spans="1:36" s="12" customFormat="1" ht="14" customHeight="1" x14ac:dyDescent="0.2">
      <c r="A308" s="10" t="s">
        <v>347</v>
      </c>
      <c r="B308" s="9">
        <v>64</v>
      </c>
      <c r="C308" s="9">
        <v>67</v>
      </c>
      <c r="D308" s="13">
        <v>65.5</v>
      </c>
      <c r="E308" s="9">
        <v>17.899999999999999</v>
      </c>
      <c r="F308" s="9">
        <v>73.7</v>
      </c>
      <c r="G308" s="34">
        <v>16</v>
      </c>
      <c r="H308" s="9">
        <v>161.30000000000001</v>
      </c>
      <c r="I308" s="9">
        <v>44.6</v>
      </c>
      <c r="J308" s="9">
        <v>19.100000000000001</v>
      </c>
      <c r="K308" s="9">
        <v>8.6999999999999993</v>
      </c>
      <c r="L308" s="13">
        <v>-42.3</v>
      </c>
      <c r="M308" s="13">
        <v>96.6</v>
      </c>
      <c r="N308" s="9"/>
      <c r="O308" s="9"/>
      <c r="P308" s="9">
        <v>21.191684556671188</v>
      </c>
      <c r="Q308" s="9">
        <v>8.2032765994404908</v>
      </c>
      <c r="R308" s="30">
        <v>501</v>
      </c>
      <c r="S308" s="13">
        <v>-71.117343302271905</v>
      </c>
      <c r="T308" s="13">
        <v>39.2570948345235</v>
      </c>
      <c r="U308" s="9">
        <v>-19.340767571919798</v>
      </c>
      <c r="V308" s="9">
        <v>-156.446777561403</v>
      </c>
      <c r="W308" s="9">
        <v>40.015518025329598</v>
      </c>
      <c r="X308" s="9" t="s">
        <v>1202</v>
      </c>
      <c r="Y308" s="31"/>
      <c r="Z308" s="31"/>
      <c r="AA308" s="10" t="b">
        <v>1</v>
      </c>
      <c r="AB308" s="7">
        <v>0</v>
      </c>
      <c r="AC308" s="14" t="s">
        <v>343</v>
      </c>
      <c r="AD308" s="7"/>
      <c r="AE308" s="7" t="s">
        <v>147</v>
      </c>
      <c r="AF308" s="10" t="s">
        <v>345</v>
      </c>
      <c r="AG308" s="14" t="s">
        <v>1305</v>
      </c>
      <c r="AH308" s="10"/>
      <c r="AJ308" s="32"/>
    </row>
    <row r="309" spans="1:36" s="12" customFormat="1" ht="14" customHeight="1" x14ac:dyDescent="0.2">
      <c r="A309" s="10" t="s">
        <v>346</v>
      </c>
      <c r="B309" s="9">
        <v>64</v>
      </c>
      <c r="C309" s="9">
        <v>67</v>
      </c>
      <c r="D309" s="13">
        <v>65.5</v>
      </c>
      <c r="E309" s="9">
        <v>17.8</v>
      </c>
      <c r="F309" s="9">
        <v>73.7</v>
      </c>
      <c r="G309" s="34">
        <v>17</v>
      </c>
      <c r="H309" s="9">
        <v>160.19999999999999</v>
      </c>
      <c r="I309" s="9">
        <v>49.5</v>
      </c>
      <c r="J309" s="9">
        <v>18.5</v>
      </c>
      <c r="K309" s="9">
        <v>8.3000000000000007</v>
      </c>
      <c r="L309" s="13">
        <v>-38.200000000000003</v>
      </c>
      <c r="M309" s="13">
        <v>95.5</v>
      </c>
      <c r="N309" s="9"/>
      <c r="O309" s="9"/>
      <c r="P309" s="9">
        <v>17.105912228176088</v>
      </c>
      <c r="Q309" s="9">
        <v>8.880980048303595</v>
      </c>
      <c r="R309" s="30">
        <v>501</v>
      </c>
      <c r="S309" s="13">
        <v>-67.667798875264495</v>
      </c>
      <c r="T309" s="13">
        <v>46.015489425889101</v>
      </c>
      <c r="U309" s="9">
        <v>-19.340767571919798</v>
      </c>
      <c r="V309" s="9">
        <v>-156.446777561403</v>
      </c>
      <c r="W309" s="9">
        <v>40.015518025329598</v>
      </c>
      <c r="X309" s="9" t="s">
        <v>1202</v>
      </c>
      <c r="Y309" s="31"/>
      <c r="Z309" s="31"/>
      <c r="AA309" s="10" t="b">
        <v>1</v>
      </c>
      <c r="AB309" s="7">
        <v>0</v>
      </c>
      <c r="AC309" s="14" t="s">
        <v>343</v>
      </c>
      <c r="AD309" s="7"/>
      <c r="AE309" s="7" t="s">
        <v>147</v>
      </c>
      <c r="AF309" s="10" t="s">
        <v>345</v>
      </c>
      <c r="AG309" s="14" t="s">
        <v>1305</v>
      </c>
      <c r="AH309" s="10"/>
      <c r="AJ309" s="32"/>
    </row>
    <row r="310" spans="1:36" s="12" customFormat="1" ht="14" customHeight="1" x14ac:dyDescent="0.2">
      <c r="A310" s="10" t="s">
        <v>351</v>
      </c>
      <c r="B310" s="9">
        <v>64</v>
      </c>
      <c r="C310" s="9">
        <v>67</v>
      </c>
      <c r="D310" s="13">
        <v>65.5</v>
      </c>
      <c r="E310" s="9">
        <v>19</v>
      </c>
      <c r="F310" s="9">
        <v>73.3</v>
      </c>
      <c r="G310" s="34">
        <v>17</v>
      </c>
      <c r="H310" s="9">
        <v>149.30000000000001</v>
      </c>
      <c r="I310" s="9">
        <v>43.3</v>
      </c>
      <c r="J310" s="9">
        <v>31</v>
      </c>
      <c r="K310" s="9">
        <v>6.5</v>
      </c>
      <c r="L310" s="13">
        <v>-36.6</v>
      </c>
      <c r="M310" s="13">
        <v>108.4</v>
      </c>
      <c r="N310" s="9"/>
      <c r="O310" s="9"/>
      <c r="P310" s="9">
        <v>36.005225766559732</v>
      </c>
      <c r="Q310" s="9">
        <v>6.0266996325994207</v>
      </c>
      <c r="R310" s="30">
        <v>501</v>
      </c>
      <c r="S310" s="13">
        <v>-72.133400848387893</v>
      </c>
      <c r="T310" s="13">
        <v>73.627379451487201</v>
      </c>
      <c r="U310" s="9">
        <v>-19.340767571919798</v>
      </c>
      <c r="V310" s="9">
        <v>-156.446777561403</v>
      </c>
      <c r="W310" s="9">
        <v>40.015518025329598</v>
      </c>
      <c r="X310" s="9" t="s">
        <v>1202</v>
      </c>
      <c r="Y310" s="31"/>
      <c r="Z310" s="31"/>
      <c r="AA310" s="10" t="b">
        <v>1</v>
      </c>
      <c r="AB310" s="7">
        <v>0</v>
      </c>
      <c r="AC310" s="14" t="s">
        <v>343</v>
      </c>
      <c r="AD310" s="7"/>
      <c r="AE310" s="7" t="s">
        <v>147</v>
      </c>
      <c r="AF310" s="10" t="s">
        <v>345</v>
      </c>
      <c r="AG310" s="14" t="s">
        <v>1305</v>
      </c>
      <c r="AH310" s="10"/>
      <c r="AJ310" s="32"/>
    </row>
    <row r="311" spans="1:36" s="17" customFormat="1" ht="14" customHeight="1" x14ac:dyDescent="0.2">
      <c r="A311" s="10" t="s">
        <v>344</v>
      </c>
      <c r="B311" s="9">
        <v>64</v>
      </c>
      <c r="C311" s="9">
        <v>67</v>
      </c>
      <c r="D311" s="13">
        <v>65.5</v>
      </c>
      <c r="E311" s="9">
        <v>17.899999999999999</v>
      </c>
      <c r="F311" s="9">
        <v>73.599999999999994</v>
      </c>
      <c r="G311" s="34">
        <v>34</v>
      </c>
      <c r="H311" s="9">
        <v>153.5</v>
      </c>
      <c r="I311" s="9">
        <v>44.7</v>
      </c>
      <c r="J311" s="9">
        <v>15.2</v>
      </c>
      <c r="K311" s="9">
        <v>6.5</v>
      </c>
      <c r="L311" s="13">
        <v>-38.799999999999997</v>
      </c>
      <c r="M311" s="13">
        <v>104.5</v>
      </c>
      <c r="N311" s="9"/>
      <c r="O311" s="9"/>
      <c r="P311" s="9">
        <v>16.804536297460313</v>
      </c>
      <c r="Q311" s="9">
        <v>6.1872397904965064</v>
      </c>
      <c r="R311" s="30">
        <v>501</v>
      </c>
      <c r="S311" s="13">
        <v>-72.545754331466895</v>
      </c>
      <c r="T311" s="13">
        <v>61.188707721285397</v>
      </c>
      <c r="U311" s="9">
        <v>-19.340767571919798</v>
      </c>
      <c r="V311" s="9">
        <v>-156.446777561403</v>
      </c>
      <c r="W311" s="9">
        <v>40.015518025329598</v>
      </c>
      <c r="X311" s="9" t="s">
        <v>1202</v>
      </c>
      <c r="Y311" s="31"/>
      <c r="Z311" s="31"/>
      <c r="AA311" s="10" t="b">
        <v>1</v>
      </c>
      <c r="AB311" s="7">
        <v>0</v>
      </c>
      <c r="AC311" s="14" t="s">
        <v>343</v>
      </c>
      <c r="AD311" s="7"/>
      <c r="AE311" s="7" t="s">
        <v>147</v>
      </c>
      <c r="AF311" s="10" t="s">
        <v>345</v>
      </c>
      <c r="AG311" s="14" t="s">
        <v>1305</v>
      </c>
      <c r="AH311" s="10"/>
      <c r="AJ311" s="32"/>
    </row>
    <row r="312" spans="1:36" s="12" customFormat="1" ht="14" customHeight="1" x14ac:dyDescent="0.2">
      <c r="A312" s="56" t="s">
        <v>365</v>
      </c>
      <c r="B312" s="54">
        <v>64</v>
      </c>
      <c r="C312" s="54">
        <v>67</v>
      </c>
      <c r="D312" s="55">
        <v>65.5</v>
      </c>
      <c r="E312" s="54">
        <v>19.899999999999999</v>
      </c>
      <c r="F312" s="54">
        <v>75.900000000000006</v>
      </c>
      <c r="G312" s="53">
        <v>3</v>
      </c>
      <c r="H312" s="54">
        <v>160</v>
      </c>
      <c r="I312" s="54">
        <v>46</v>
      </c>
      <c r="J312" s="54">
        <v>32</v>
      </c>
      <c r="K312" s="54">
        <v>3.8</v>
      </c>
      <c r="L312" s="55">
        <v>-39</v>
      </c>
      <c r="M312" s="55">
        <v>99</v>
      </c>
      <c r="N312" s="54"/>
      <c r="O312" s="54"/>
      <c r="P312" s="54">
        <v>33.754579892540761</v>
      </c>
      <c r="Q312" s="54">
        <v>21.558604381552286</v>
      </c>
      <c r="R312" s="59">
        <v>501</v>
      </c>
      <c r="S312" s="55">
        <v>-70.089163056841002</v>
      </c>
      <c r="T312" s="55">
        <v>50.1926472786377</v>
      </c>
      <c r="U312" s="54">
        <v>-19.340767571919798</v>
      </c>
      <c r="V312" s="54">
        <v>-156.446777561403</v>
      </c>
      <c r="W312" s="54">
        <v>40.015518025329598</v>
      </c>
      <c r="X312" s="54" t="s">
        <v>1202</v>
      </c>
      <c r="Y312" s="62"/>
      <c r="Z312" s="62"/>
      <c r="AA312" s="56" t="b">
        <v>1</v>
      </c>
      <c r="AB312" s="52" t="s">
        <v>31</v>
      </c>
      <c r="AC312" s="49" t="s">
        <v>366</v>
      </c>
      <c r="AD312" s="52">
        <v>686</v>
      </c>
      <c r="AE312" s="52" t="s">
        <v>147</v>
      </c>
      <c r="AF312" s="56" t="s">
        <v>345</v>
      </c>
      <c r="AG312" s="49" t="s">
        <v>1319</v>
      </c>
      <c r="AH312" s="56"/>
      <c r="AJ312" s="32"/>
    </row>
    <row r="313" spans="1:36" s="12" customFormat="1" ht="14" customHeight="1" x14ac:dyDescent="0.15">
      <c r="A313" s="14" t="s">
        <v>367</v>
      </c>
      <c r="B313" s="9">
        <v>63</v>
      </c>
      <c r="C313" s="9">
        <v>68.400000000000006</v>
      </c>
      <c r="D313" s="13">
        <v>65.7</v>
      </c>
      <c r="E313" s="9">
        <v>21.3</v>
      </c>
      <c r="F313" s="9">
        <v>74.25</v>
      </c>
      <c r="G313" s="34">
        <v>13</v>
      </c>
      <c r="H313" s="9"/>
      <c r="I313" s="9"/>
      <c r="J313" s="9"/>
      <c r="K313" s="9"/>
      <c r="L313" s="13">
        <v>-40.5</v>
      </c>
      <c r="M313" s="13">
        <v>104.5</v>
      </c>
      <c r="N313" s="9">
        <v>13.5</v>
      </c>
      <c r="O313" s="9">
        <v>11.7</v>
      </c>
      <c r="P313" s="37" t="s">
        <v>1203</v>
      </c>
      <c r="Q313" s="37" t="s">
        <v>1203</v>
      </c>
      <c r="R313" s="7">
        <v>501</v>
      </c>
      <c r="S313" s="13">
        <v>-74.167871967825306</v>
      </c>
      <c r="T313" s="13">
        <v>57.6777813786737</v>
      </c>
      <c r="U313" s="9">
        <v>-19.516229280394501</v>
      </c>
      <c r="V313" s="9">
        <v>-156.888755942926</v>
      </c>
      <c r="W313" s="9">
        <v>40.188440737366903</v>
      </c>
      <c r="X313" s="7" t="s">
        <v>1202</v>
      </c>
      <c r="Y313" s="10"/>
      <c r="Z313" s="10"/>
      <c r="AA313" s="7" t="b">
        <v>1</v>
      </c>
      <c r="AB313" s="7">
        <v>0</v>
      </c>
      <c r="AC313" s="14" t="s">
        <v>1201</v>
      </c>
      <c r="AD313" s="7"/>
      <c r="AE313" s="7" t="s">
        <v>1369</v>
      </c>
      <c r="AF313" s="10" t="s">
        <v>368</v>
      </c>
      <c r="AG313" s="14"/>
      <c r="AH313" s="10"/>
      <c r="AJ313" s="32"/>
    </row>
    <row r="314" spans="1:36" s="17" customFormat="1" ht="14" customHeight="1" x14ac:dyDescent="0.2">
      <c r="A314" s="14" t="s">
        <v>369</v>
      </c>
      <c r="B314" s="9">
        <v>64</v>
      </c>
      <c r="C314" s="9">
        <v>68.5</v>
      </c>
      <c r="D314" s="13">
        <f>(B314+C314)/2</f>
        <v>66.25</v>
      </c>
      <c r="E314" s="9">
        <v>19</v>
      </c>
      <c r="F314" s="9">
        <v>73.5</v>
      </c>
      <c r="G314" s="34">
        <v>50</v>
      </c>
      <c r="H314" s="9">
        <v>153.9</v>
      </c>
      <c r="I314" s="9">
        <v>45.1</v>
      </c>
      <c r="J314" s="9">
        <v>26.3</v>
      </c>
      <c r="K314" s="9">
        <v>4</v>
      </c>
      <c r="L314" s="13">
        <v>-37.799999999999997</v>
      </c>
      <c r="M314" s="13">
        <v>102.6</v>
      </c>
      <c r="N314" s="9"/>
      <c r="O314" s="9"/>
      <c r="P314" s="9">
        <v>28.662435479565087</v>
      </c>
      <c r="Q314" s="9">
        <v>3.8287279837941828</v>
      </c>
      <c r="R314" s="7">
        <v>501</v>
      </c>
      <c r="S314" s="13">
        <v>-71.682522033525203</v>
      </c>
      <c r="T314" s="13">
        <v>57.917710989291301</v>
      </c>
      <c r="U314" s="9">
        <v>-19.626123392435002</v>
      </c>
      <c r="V314" s="9">
        <v>-157.470640113982</v>
      </c>
      <c r="W314" s="9">
        <v>40.803261382441903</v>
      </c>
      <c r="X314" s="7" t="s">
        <v>1202</v>
      </c>
      <c r="Y314" s="10"/>
      <c r="Z314" s="10"/>
      <c r="AA314" s="7" t="b">
        <v>1</v>
      </c>
      <c r="AB314" s="7">
        <v>0</v>
      </c>
      <c r="AC314" s="14" t="s">
        <v>370</v>
      </c>
      <c r="AD314" s="7"/>
      <c r="AE314" s="7" t="s">
        <v>1369</v>
      </c>
      <c r="AF314" s="10" t="s">
        <v>1218</v>
      </c>
      <c r="AG314" s="14" t="s">
        <v>1216</v>
      </c>
      <c r="AH314" s="10"/>
      <c r="AJ314" s="32"/>
    </row>
    <row r="315" spans="1:36" s="17" customFormat="1" ht="14" customHeight="1" x14ac:dyDescent="0.15">
      <c r="A315" s="14" t="s">
        <v>373</v>
      </c>
      <c r="B315" s="9">
        <v>65</v>
      </c>
      <c r="C315" s="9">
        <v>70</v>
      </c>
      <c r="D315" s="13">
        <v>67.5</v>
      </c>
      <c r="E315" s="9">
        <v>10.199999999999999</v>
      </c>
      <c r="F315" s="9">
        <v>76.099999999999994</v>
      </c>
      <c r="G315" s="34">
        <v>10</v>
      </c>
      <c r="H315" s="9">
        <v>330.6</v>
      </c>
      <c r="I315" s="9">
        <v>-53.5</v>
      </c>
      <c r="J315" s="9">
        <v>72</v>
      </c>
      <c r="K315" s="9">
        <v>5.7</v>
      </c>
      <c r="L315" s="13">
        <v>-37.68</v>
      </c>
      <c r="M315" s="13">
        <v>107.03</v>
      </c>
      <c r="N315" s="9"/>
      <c r="O315" s="9"/>
      <c r="P315" s="37">
        <v>56.798886495338543</v>
      </c>
      <c r="Q315" s="37">
        <v>6.4648612344329504</v>
      </c>
      <c r="R315" s="30">
        <v>501</v>
      </c>
      <c r="S315" s="13">
        <v>-74.784969903913606</v>
      </c>
      <c r="T315" s="13">
        <v>66.093216999198305</v>
      </c>
      <c r="U315" s="9">
        <v>-19.859595737031501</v>
      </c>
      <c r="V315" s="9">
        <v>-158.741610720333</v>
      </c>
      <c r="W315" s="9">
        <v>42.210503048545903</v>
      </c>
      <c r="X315" s="7" t="s">
        <v>1202</v>
      </c>
      <c r="Y315" s="10"/>
      <c r="Z315" s="10"/>
      <c r="AA315" s="10" t="b">
        <v>1</v>
      </c>
      <c r="AB315" s="7">
        <v>0</v>
      </c>
      <c r="AC315" s="14" t="s">
        <v>1455</v>
      </c>
      <c r="AD315" s="7"/>
      <c r="AE315" s="7" t="s">
        <v>1369</v>
      </c>
      <c r="AF315" s="10" t="s">
        <v>1246</v>
      </c>
      <c r="AG315" s="14"/>
      <c r="AH315" s="10"/>
      <c r="AJ315" s="32"/>
    </row>
    <row r="316" spans="1:36" s="17" customFormat="1" ht="14" customHeight="1" x14ac:dyDescent="0.2">
      <c r="A316" s="10" t="s">
        <v>376</v>
      </c>
      <c r="B316" s="9">
        <v>68</v>
      </c>
      <c r="C316" s="9">
        <v>70</v>
      </c>
      <c r="D316" s="13">
        <v>69</v>
      </c>
      <c r="E316" s="9">
        <v>9.6999999999999993</v>
      </c>
      <c r="F316" s="9">
        <v>76.7</v>
      </c>
      <c r="G316" s="34">
        <v>6</v>
      </c>
      <c r="H316" s="9">
        <v>163</v>
      </c>
      <c r="I316" s="9">
        <v>61</v>
      </c>
      <c r="J316" s="9">
        <v>58</v>
      </c>
      <c r="K316" s="9">
        <v>10.1</v>
      </c>
      <c r="L316" s="13">
        <v>-34.6</v>
      </c>
      <c r="M316" s="13">
        <v>94</v>
      </c>
      <c r="N316" s="9"/>
      <c r="O316" s="9"/>
      <c r="P316" s="9">
        <v>33.441053342784969</v>
      </c>
      <c r="Q316" s="9">
        <v>11.75452165363617</v>
      </c>
      <c r="R316" s="30">
        <v>501</v>
      </c>
      <c r="S316" s="13">
        <v>-67.061795466647396</v>
      </c>
      <c r="T316" s="13">
        <v>42.703462186487201</v>
      </c>
      <c r="U316" s="9">
        <v>-20.0679413020044</v>
      </c>
      <c r="V316" s="9">
        <v>-159.67238731869699</v>
      </c>
      <c r="W316" s="9">
        <v>43.664134553839702</v>
      </c>
      <c r="X316" s="9" t="s">
        <v>1202</v>
      </c>
      <c r="Y316" s="31"/>
      <c r="Z316" s="31"/>
      <c r="AA316" s="10" t="b">
        <v>1</v>
      </c>
      <c r="AB316" s="7">
        <v>0</v>
      </c>
      <c r="AC316" s="14" t="s">
        <v>377</v>
      </c>
      <c r="AD316" s="7">
        <v>2754</v>
      </c>
      <c r="AE316" s="7" t="s">
        <v>147</v>
      </c>
      <c r="AF316" s="10" t="s">
        <v>1347</v>
      </c>
      <c r="AG316" s="14" t="s">
        <v>1306</v>
      </c>
      <c r="AH316" s="10"/>
      <c r="AJ316" s="32"/>
    </row>
    <row r="317" spans="1:36" s="17" customFormat="1" ht="14" customHeight="1" x14ac:dyDescent="0.15">
      <c r="A317" s="14" t="s">
        <v>373</v>
      </c>
      <c r="B317" s="9">
        <v>85</v>
      </c>
      <c r="C317" s="9">
        <v>90</v>
      </c>
      <c r="D317" s="13">
        <v>87.5</v>
      </c>
      <c r="E317" s="9">
        <v>10.199999999999999</v>
      </c>
      <c r="F317" s="9">
        <v>76.099999999999994</v>
      </c>
      <c r="G317" s="34">
        <v>6</v>
      </c>
      <c r="H317" s="9">
        <v>316.72000000000003</v>
      </c>
      <c r="I317" s="9">
        <v>-57.84</v>
      </c>
      <c r="J317" s="9">
        <v>63.89</v>
      </c>
      <c r="K317" s="9">
        <v>8.4499999999999993</v>
      </c>
      <c r="L317" s="13">
        <v>-26.78</v>
      </c>
      <c r="M317" s="13">
        <v>113.05</v>
      </c>
      <c r="N317" s="9"/>
      <c r="O317" s="9"/>
      <c r="P317" s="37">
        <v>42.106873117158678</v>
      </c>
      <c r="Q317" s="37">
        <v>10.444048095383181</v>
      </c>
      <c r="R317" s="30">
        <v>501</v>
      </c>
      <c r="S317" s="13">
        <v>-72.661854662650498</v>
      </c>
      <c r="T317" s="13">
        <v>67.588655761107503</v>
      </c>
      <c r="U317" s="9">
        <v>-22.907512738238498</v>
      </c>
      <c r="V317" s="9">
        <v>-156.99687456208699</v>
      </c>
      <c r="W317" s="9">
        <v>52.811758653600002</v>
      </c>
      <c r="X317" s="7" t="s">
        <v>1202</v>
      </c>
      <c r="Y317" s="10"/>
      <c r="Z317" s="10"/>
      <c r="AA317" s="10" t="b">
        <v>1</v>
      </c>
      <c r="AB317" s="7">
        <v>0</v>
      </c>
      <c r="AC317" s="14" t="s">
        <v>1455</v>
      </c>
      <c r="AD317" s="7"/>
      <c r="AE317" s="7" t="s">
        <v>1369</v>
      </c>
      <c r="AF317" s="10" t="s">
        <v>1248</v>
      </c>
      <c r="AG317" s="14"/>
      <c r="AH317" s="10"/>
      <c r="AJ317" s="32"/>
    </row>
    <row r="318" spans="1:36" s="12" customFormat="1" ht="14" customHeight="1" x14ac:dyDescent="0.15">
      <c r="A318" s="56" t="s">
        <v>431</v>
      </c>
      <c r="B318" s="54">
        <v>78</v>
      </c>
      <c r="C318" s="54">
        <v>84</v>
      </c>
      <c r="D318" s="55">
        <v>88</v>
      </c>
      <c r="E318" s="52">
        <v>9.6999999999999993</v>
      </c>
      <c r="F318" s="52">
        <v>76.7</v>
      </c>
      <c r="G318" s="58">
        <v>3</v>
      </c>
      <c r="H318" s="54">
        <v>127</v>
      </c>
      <c r="I318" s="54">
        <v>57</v>
      </c>
      <c r="J318" s="54">
        <v>107</v>
      </c>
      <c r="K318" s="54">
        <v>12</v>
      </c>
      <c r="L318" s="55">
        <v>-21.6</v>
      </c>
      <c r="M318" s="58">
        <v>119.4</v>
      </c>
      <c r="N318" s="52"/>
      <c r="O318" s="52"/>
      <c r="P318" s="61">
        <v>73.048876997194611</v>
      </c>
      <c r="Q318" s="61">
        <v>14.529098539414335</v>
      </c>
      <c r="R318" s="52">
        <v>501</v>
      </c>
      <c r="S318" s="55">
        <v>-69.593296405315598</v>
      </c>
      <c r="T318" s="55">
        <v>88.879269767364406</v>
      </c>
      <c r="U318" s="54">
        <v>-23.0156255084664</v>
      </c>
      <c r="V318" s="54">
        <v>-156.58679882414901</v>
      </c>
      <c r="W318" s="54">
        <v>52.936841344422398</v>
      </c>
      <c r="X318" s="52" t="s">
        <v>1202</v>
      </c>
      <c r="Y318" s="52"/>
      <c r="Z318" s="52"/>
      <c r="AA318" s="56" t="b">
        <v>1</v>
      </c>
      <c r="AB318" s="52" t="s">
        <v>31</v>
      </c>
      <c r="AC318" s="49" t="s">
        <v>377</v>
      </c>
      <c r="AD318" s="52">
        <v>2754</v>
      </c>
      <c r="AE318" s="52" t="s">
        <v>147</v>
      </c>
      <c r="AF318" s="49" t="s">
        <v>1247</v>
      </c>
      <c r="AG318" s="56"/>
      <c r="AH318" s="56"/>
      <c r="AJ318" s="32"/>
    </row>
    <row r="319" spans="1:36" s="12" customFormat="1" ht="14" customHeight="1" x14ac:dyDescent="0.2">
      <c r="A319" s="10" t="s">
        <v>438</v>
      </c>
      <c r="B319" s="9">
        <v>91</v>
      </c>
      <c r="C319" s="9">
        <v>91.4</v>
      </c>
      <c r="D319" s="6">
        <v>91.2</v>
      </c>
      <c r="E319" s="9">
        <v>13.35</v>
      </c>
      <c r="F319" s="9">
        <v>74.680000000000007</v>
      </c>
      <c r="G319" s="34">
        <v>7</v>
      </c>
      <c r="H319" s="9">
        <v>301.2</v>
      </c>
      <c r="I319" s="9">
        <v>-58.5</v>
      </c>
      <c r="J319" s="9">
        <v>65.7</v>
      </c>
      <c r="K319" s="9">
        <v>7.5</v>
      </c>
      <c r="L319" s="13">
        <v>-14.2</v>
      </c>
      <c r="M319" s="6">
        <v>117.8</v>
      </c>
      <c r="N319" s="9"/>
      <c r="O319" s="9"/>
      <c r="P319" s="9">
        <v>42.112280005492323</v>
      </c>
      <c r="Q319" s="9">
        <v>9.4091338139605387</v>
      </c>
      <c r="R319" s="7">
        <v>501</v>
      </c>
      <c r="S319" s="13">
        <v>-61.8458344027488</v>
      </c>
      <c r="T319" s="13">
        <v>84.204543021620594</v>
      </c>
      <c r="U319" s="9">
        <v>-23.671495030391998</v>
      </c>
      <c r="V319" s="9">
        <v>-153.99092610474699</v>
      </c>
      <c r="W319" s="9">
        <v>53.787358769982902</v>
      </c>
      <c r="X319" s="7" t="s">
        <v>1202</v>
      </c>
      <c r="Y319" s="7"/>
      <c r="Z319" s="7"/>
      <c r="AA319" s="10" t="b">
        <v>1</v>
      </c>
      <c r="AB319" s="7">
        <v>0</v>
      </c>
      <c r="AC319" s="14" t="s">
        <v>439</v>
      </c>
      <c r="AD319" s="7"/>
      <c r="AE319" s="7" t="s">
        <v>147</v>
      </c>
      <c r="AF319" s="10" t="s">
        <v>440</v>
      </c>
      <c r="AG319" s="14"/>
      <c r="AH319" s="10"/>
      <c r="AJ319" s="32"/>
    </row>
    <row r="320" spans="1:36" s="17" customFormat="1" ht="14" customHeight="1" x14ac:dyDescent="0.15">
      <c r="A320" s="10" t="s">
        <v>486</v>
      </c>
      <c r="B320" s="9">
        <v>109.1</v>
      </c>
      <c r="C320" s="9">
        <v>116.6</v>
      </c>
      <c r="D320" s="13">
        <f>AVERAGE(B320,C320)</f>
        <v>112.85</v>
      </c>
      <c r="E320" s="9">
        <v>23.75</v>
      </c>
      <c r="F320" s="9">
        <v>87</v>
      </c>
      <c r="G320" s="34">
        <v>11</v>
      </c>
      <c r="H320" s="9">
        <v>331.3</v>
      </c>
      <c r="I320" s="9">
        <v>-62.4</v>
      </c>
      <c r="J320" s="9">
        <v>55</v>
      </c>
      <c r="K320" s="9">
        <v>6.2</v>
      </c>
      <c r="L320" s="13">
        <v>-14.9</v>
      </c>
      <c r="M320" s="13">
        <v>107.6</v>
      </c>
      <c r="N320" s="9">
        <v>30.5</v>
      </c>
      <c r="O320" s="9">
        <v>8.4</v>
      </c>
      <c r="P320" s="37" t="s">
        <v>1203</v>
      </c>
      <c r="Q320" s="37" t="s">
        <v>1203</v>
      </c>
      <c r="R320" s="30">
        <v>501</v>
      </c>
      <c r="S320" s="13">
        <v>-58.846645661496296</v>
      </c>
      <c r="T320" s="13">
        <v>62.740964400552997</v>
      </c>
      <c r="U320" s="9">
        <v>-24.4201182193347</v>
      </c>
      <c r="V320" s="9">
        <v>-153.86039396087099</v>
      </c>
      <c r="W320" s="9">
        <v>54.958151749182598</v>
      </c>
      <c r="X320" s="7" t="s">
        <v>1202</v>
      </c>
      <c r="Y320" s="7"/>
      <c r="Z320" s="44"/>
      <c r="AA320" s="10" t="b">
        <v>1</v>
      </c>
      <c r="AB320" s="7">
        <v>0</v>
      </c>
      <c r="AC320" s="14" t="s">
        <v>487</v>
      </c>
      <c r="AD320" s="7"/>
      <c r="AE320" s="7" t="s">
        <v>1369</v>
      </c>
      <c r="AF320" s="10" t="s">
        <v>488</v>
      </c>
      <c r="AG320" s="14" t="s">
        <v>1253</v>
      </c>
      <c r="AH320" s="10"/>
      <c r="AJ320" s="32"/>
    </row>
    <row r="321" spans="1:36" s="12" customFormat="1" ht="14" customHeight="1" x14ac:dyDescent="0.2">
      <c r="A321" s="10" t="s">
        <v>492</v>
      </c>
      <c r="B321" s="9">
        <v>115</v>
      </c>
      <c r="C321" s="9">
        <v>117</v>
      </c>
      <c r="D321" s="13">
        <v>116</v>
      </c>
      <c r="E321" s="9">
        <v>24.8</v>
      </c>
      <c r="F321" s="9">
        <v>87.7</v>
      </c>
      <c r="G321" s="34">
        <v>16</v>
      </c>
      <c r="H321" s="9">
        <v>310</v>
      </c>
      <c r="I321" s="9">
        <v>-67</v>
      </c>
      <c r="J321" s="9">
        <v>187</v>
      </c>
      <c r="K321" s="9">
        <v>4</v>
      </c>
      <c r="L321" s="13">
        <v>-3.2</v>
      </c>
      <c r="M321" s="13">
        <v>117.5</v>
      </c>
      <c r="N321" s="9">
        <v>91</v>
      </c>
      <c r="O321" s="9">
        <v>6</v>
      </c>
      <c r="P321" s="9" t="s">
        <v>1203</v>
      </c>
      <c r="Q321" s="9" t="s">
        <v>1203</v>
      </c>
      <c r="R321" s="7">
        <v>501</v>
      </c>
      <c r="S321" s="13">
        <v>-51.339929824734099</v>
      </c>
      <c r="T321" s="13">
        <v>86.597590032484007</v>
      </c>
      <c r="U321" s="9">
        <v>-24.707175835005099</v>
      </c>
      <c r="V321" s="9">
        <v>-154.09692241545801</v>
      </c>
      <c r="W321" s="9">
        <v>54.705861890573502</v>
      </c>
      <c r="X321" s="7" t="s">
        <v>1202</v>
      </c>
      <c r="Y321" s="10"/>
      <c r="Z321" s="10"/>
      <c r="AA321" s="7" t="b">
        <v>1</v>
      </c>
      <c r="AB321" s="7">
        <v>0</v>
      </c>
      <c r="AC321" s="14" t="s">
        <v>1384</v>
      </c>
      <c r="AD321" s="7">
        <v>633</v>
      </c>
      <c r="AE321" s="7" t="s">
        <v>147</v>
      </c>
      <c r="AF321" s="10" t="s">
        <v>1293</v>
      </c>
      <c r="AG321" s="14"/>
      <c r="AH321" s="10"/>
      <c r="AJ321" s="32"/>
    </row>
    <row r="322" spans="1:36" s="12" customFormat="1" ht="14" customHeight="1" x14ac:dyDescent="0.15">
      <c r="A322" s="10" t="s">
        <v>493</v>
      </c>
      <c r="B322" s="9">
        <v>115</v>
      </c>
      <c r="C322" s="9">
        <v>117</v>
      </c>
      <c r="D322" s="13">
        <v>116</v>
      </c>
      <c r="E322" s="9">
        <v>24.600000381469727</v>
      </c>
      <c r="F322" s="9">
        <v>87.699996948242188</v>
      </c>
      <c r="G322" s="34">
        <v>25</v>
      </c>
      <c r="H322" s="9">
        <v>314.5</v>
      </c>
      <c r="I322" s="9">
        <v>-64.5</v>
      </c>
      <c r="J322" s="9">
        <v>60</v>
      </c>
      <c r="K322" s="9">
        <v>3.5</v>
      </c>
      <c r="L322" s="13">
        <v>-7</v>
      </c>
      <c r="M322" s="13">
        <v>117</v>
      </c>
      <c r="N322" s="9"/>
      <c r="O322" s="9"/>
      <c r="P322" s="37">
        <v>29.829118712861142</v>
      </c>
      <c r="Q322" s="37">
        <v>5.3895913684630941</v>
      </c>
      <c r="R322" s="7">
        <v>501</v>
      </c>
      <c r="S322" s="13">
        <v>-54.911597187088198</v>
      </c>
      <c r="T322" s="13">
        <v>84.279262821967293</v>
      </c>
      <c r="U322" s="9">
        <v>-24.707175835005099</v>
      </c>
      <c r="V322" s="9">
        <v>-154.09692241545801</v>
      </c>
      <c r="W322" s="9">
        <v>54.705861890573502</v>
      </c>
      <c r="X322" s="7" t="s">
        <v>1202</v>
      </c>
      <c r="Y322" s="10"/>
      <c r="Z322" s="10"/>
      <c r="AA322" s="7" t="b">
        <v>1</v>
      </c>
      <c r="AB322" s="7">
        <v>0</v>
      </c>
      <c r="AC322" s="14" t="s">
        <v>494</v>
      </c>
      <c r="AD322" s="7">
        <v>678</v>
      </c>
      <c r="AE322" s="7" t="s">
        <v>147</v>
      </c>
      <c r="AF322" s="10" t="s">
        <v>1295</v>
      </c>
      <c r="AG322" s="14"/>
      <c r="AH322" s="10"/>
      <c r="AJ322" s="32"/>
    </row>
    <row r="323" spans="1:36" s="12" customFormat="1" ht="14" customHeight="1" x14ac:dyDescent="0.15">
      <c r="A323" s="10" t="s">
        <v>495</v>
      </c>
      <c r="B323" s="9">
        <v>115</v>
      </c>
      <c r="C323" s="9">
        <v>117</v>
      </c>
      <c r="D323" s="13">
        <v>116</v>
      </c>
      <c r="E323" s="9">
        <v>25</v>
      </c>
      <c r="F323" s="9">
        <v>87.400001525878906</v>
      </c>
      <c r="G323" s="34">
        <v>19</v>
      </c>
      <c r="H323" s="9">
        <v>308.5</v>
      </c>
      <c r="I323" s="9">
        <v>-59.200000762939453</v>
      </c>
      <c r="J323" s="9">
        <v>17</v>
      </c>
      <c r="K323" s="9">
        <v>8.3000000000000007</v>
      </c>
      <c r="L323" s="13">
        <v>-9.3000000000000007</v>
      </c>
      <c r="M323" s="6">
        <v>124.8</v>
      </c>
      <c r="N323" s="7"/>
      <c r="O323" s="7"/>
      <c r="P323" s="37">
        <v>10.579043328885295</v>
      </c>
      <c r="Q323" s="37">
        <v>10.830002440782001</v>
      </c>
      <c r="R323" s="7">
        <v>501</v>
      </c>
      <c r="S323" s="13">
        <v>-58.505412652420901</v>
      </c>
      <c r="T323" s="13">
        <v>97.451800194590106</v>
      </c>
      <c r="U323" s="9">
        <v>-24.707175835005099</v>
      </c>
      <c r="V323" s="9">
        <v>-154.09692241545801</v>
      </c>
      <c r="W323" s="9">
        <v>54.705861890573502</v>
      </c>
      <c r="X323" s="7" t="s">
        <v>1202</v>
      </c>
      <c r="Y323" s="10"/>
      <c r="Z323" s="10"/>
      <c r="AA323" s="7" t="b">
        <v>1</v>
      </c>
      <c r="AB323" s="7">
        <v>0</v>
      </c>
      <c r="AC323" s="14" t="s">
        <v>496</v>
      </c>
      <c r="AD323" s="7">
        <v>2977</v>
      </c>
      <c r="AE323" s="7" t="s">
        <v>147</v>
      </c>
      <c r="AF323" s="10" t="s">
        <v>1294</v>
      </c>
      <c r="AG323" s="14"/>
      <c r="AH323" s="10"/>
      <c r="AJ323" s="32"/>
    </row>
    <row r="324" spans="1:36" s="12" customFormat="1" ht="14" customHeight="1" x14ac:dyDescent="0.15">
      <c r="A324" s="10" t="s">
        <v>497</v>
      </c>
      <c r="B324" s="9">
        <v>115</v>
      </c>
      <c r="C324" s="9">
        <v>117</v>
      </c>
      <c r="D324" s="13">
        <v>116</v>
      </c>
      <c r="E324" s="9">
        <v>24.7</v>
      </c>
      <c r="F324" s="9">
        <v>87.5</v>
      </c>
      <c r="G324" s="34">
        <v>8</v>
      </c>
      <c r="H324" s="9">
        <v>309.8</v>
      </c>
      <c r="I324" s="9">
        <v>-63.2</v>
      </c>
      <c r="J324" s="9">
        <v>100.6</v>
      </c>
      <c r="K324" s="9">
        <v>5.5</v>
      </c>
      <c r="L324" s="13">
        <v>-6.5</v>
      </c>
      <c r="M324" s="6">
        <v>120.2</v>
      </c>
      <c r="N324" s="7"/>
      <c r="O324" s="7"/>
      <c r="P324" s="37">
        <v>52.834597688159214</v>
      </c>
      <c r="Q324" s="37">
        <v>7.6905476066043255</v>
      </c>
      <c r="R324" s="7">
        <v>501</v>
      </c>
      <c r="S324" s="13">
        <v>-55.118169772453598</v>
      </c>
      <c r="T324" s="13">
        <v>89.879773376735201</v>
      </c>
      <c r="U324" s="9">
        <v>-24.707175835005099</v>
      </c>
      <c r="V324" s="9">
        <v>-154.09692241545801</v>
      </c>
      <c r="W324" s="9">
        <v>54.705861890573502</v>
      </c>
      <c r="X324" s="7" t="s">
        <v>1202</v>
      </c>
      <c r="Y324" s="10"/>
      <c r="Z324" s="10"/>
      <c r="AA324" s="7" t="b">
        <v>1</v>
      </c>
      <c r="AB324" s="7">
        <v>0</v>
      </c>
      <c r="AC324" s="14" t="s">
        <v>498</v>
      </c>
      <c r="AD324" s="7"/>
      <c r="AE324" s="7" t="s">
        <v>147</v>
      </c>
      <c r="AF324" s="10" t="s">
        <v>1294</v>
      </c>
      <c r="AG324" s="14"/>
      <c r="AH324" s="10"/>
      <c r="AJ324" s="32"/>
    </row>
    <row r="325" spans="1:36" s="12" customFormat="1" ht="14" customHeight="1" x14ac:dyDescent="0.15">
      <c r="A325" s="56" t="s">
        <v>501</v>
      </c>
      <c r="B325" s="54"/>
      <c r="C325" s="54"/>
      <c r="D325" s="58">
        <v>116.5</v>
      </c>
      <c r="E325" s="54">
        <v>25</v>
      </c>
      <c r="F325" s="54">
        <v>91</v>
      </c>
      <c r="G325" s="53">
        <v>25</v>
      </c>
      <c r="H325" s="54">
        <v>332</v>
      </c>
      <c r="I325" s="54">
        <v>-59</v>
      </c>
      <c r="J325" s="54">
        <v>18.100000000000001</v>
      </c>
      <c r="K325" s="54">
        <v>7</v>
      </c>
      <c r="L325" s="55">
        <v>-16</v>
      </c>
      <c r="M325" s="55">
        <v>121</v>
      </c>
      <c r="N325" s="54"/>
      <c r="O325" s="54"/>
      <c r="P325" s="61">
        <v>11.359252115656917</v>
      </c>
      <c r="Q325" s="61">
        <v>8.9857967921953019</v>
      </c>
      <c r="R325" s="52">
        <v>501</v>
      </c>
      <c r="S325" s="55">
        <v>-64.5373645688354</v>
      </c>
      <c r="T325" s="55">
        <v>87.6646979242322</v>
      </c>
      <c r="U325" s="54">
        <v>-24.752930683318901</v>
      </c>
      <c r="V325" s="54">
        <v>-154.13475207787201</v>
      </c>
      <c r="W325" s="54">
        <v>54.665985233478402</v>
      </c>
      <c r="X325" s="52" t="s">
        <v>1202</v>
      </c>
      <c r="Y325" s="56"/>
      <c r="Z325" s="56"/>
      <c r="AA325" s="52" t="b">
        <v>1</v>
      </c>
      <c r="AB325" s="52" t="s">
        <v>31</v>
      </c>
      <c r="AC325" s="49" t="s">
        <v>502</v>
      </c>
      <c r="AD325" s="52">
        <v>985</v>
      </c>
      <c r="AE325" s="52" t="s">
        <v>147</v>
      </c>
      <c r="AF325" s="56"/>
      <c r="AG325" s="49" t="s">
        <v>503</v>
      </c>
      <c r="AH325" s="56"/>
      <c r="AJ325" s="32"/>
    </row>
    <row r="326" spans="1:36" s="12" customFormat="1" ht="14" customHeight="1" x14ac:dyDescent="0.15">
      <c r="A326" s="49" t="s">
        <v>505</v>
      </c>
      <c r="B326" s="54">
        <v>116</v>
      </c>
      <c r="C326" s="54">
        <v>118</v>
      </c>
      <c r="D326" s="55">
        <v>117</v>
      </c>
      <c r="E326" s="54">
        <v>25.166</v>
      </c>
      <c r="F326" s="54">
        <v>87.67</v>
      </c>
      <c r="G326" s="53">
        <v>18</v>
      </c>
      <c r="H326" s="54">
        <v>317.51</v>
      </c>
      <c r="I326" s="54">
        <v>-61.9</v>
      </c>
      <c r="J326" s="54">
        <v>93.39</v>
      </c>
      <c r="K326" s="54">
        <v>3.6</v>
      </c>
      <c r="L326" s="55">
        <v>-11.4</v>
      </c>
      <c r="M326" s="55">
        <v>117.6</v>
      </c>
      <c r="N326" s="54">
        <v>99.99</v>
      </c>
      <c r="O326" s="54">
        <v>3.5</v>
      </c>
      <c r="P326" s="61" t="s">
        <v>1203</v>
      </c>
      <c r="Q326" s="61" t="s">
        <v>1203</v>
      </c>
      <c r="R326" s="52">
        <v>501</v>
      </c>
      <c r="S326" s="55">
        <v>-59.224801072407502</v>
      </c>
      <c r="T326" s="55">
        <v>83.273524944975506</v>
      </c>
      <c r="U326" s="54">
        <v>-24.798737623949499</v>
      </c>
      <c r="V326" s="54">
        <v>-154.17266060479699</v>
      </c>
      <c r="W326" s="54">
        <v>54.626155257266198</v>
      </c>
      <c r="X326" s="52" t="s">
        <v>1202</v>
      </c>
      <c r="Y326" s="56"/>
      <c r="Z326" s="56"/>
      <c r="AA326" s="52" t="b">
        <v>0</v>
      </c>
      <c r="AB326" s="52">
        <v>0</v>
      </c>
      <c r="AC326" s="49" t="s">
        <v>506</v>
      </c>
      <c r="AD326" s="52"/>
      <c r="AE326" s="52" t="s">
        <v>1369</v>
      </c>
      <c r="AF326" s="56" t="s">
        <v>1252</v>
      </c>
      <c r="AG326" s="49"/>
      <c r="AH326" s="56"/>
      <c r="AJ326" s="32"/>
    </row>
    <row r="327" spans="1:36" s="12" customFormat="1" ht="14" customHeight="1" x14ac:dyDescent="0.15">
      <c r="A327" s="10" t="s">
        <v>493</v>
      </c>
      <c r="B327" s="9">
        <v>116</v>
      </c>
      <c r="C327" s="9">
        <v>118</v>
      </c>
      <c r="D327" s="13">
        <v>117</v>
      </c>
      <c r="E327" s="9">
        <v>24.700000762939453</v>
      </c>
      <c r="F327" s="9">
        <v>87.7</v>
      </c>
      <c r="G327" s="34">
        <v>34</v>
      </c>
      <c r="H327" s="9">
        <v>317</v>
      </c>
      <c r="I327" s="9">
        <v>-64</v>
      </c>
      <c r="J327" s="9">
        <v>105.8</v>
      </c>
      <c r="K327" s="9">
        <v>2.4</v>
      </c>
      <c r="L327" s="13">
        <v>-9.4</v>
      </c>
      <c r="M327" s="6">
        <v>116.6</v>
      </c>
      <c r="N327" s="7"/>
      <c r="O327" s="7"/>
      <c r="P327" s="37">
        <v>53.718423696394716</v>
      </c>
      <c r="Q327" s="37">
        <v>3.3887653486848661</v>
      </c>
      <c r="R327" s="7">
        <v>501</v>
      </c>
      <c r="S327" s="13">
        <v>-57.032515841760002</v>
      </c>
      <c r="T327" s="13">
        <v>82.512747598053593</v>
      </c>
      <c r="U327" s="9">
        <v>-24.798737623949499</v>
      </c>
      <c r="V327" s="9">
        <v>-154.17266060479699</v>
      </c>
      <c r="W327" s="9">
        <v>54.626155257266198</v>
      </c>
      <c r="X327" s="7" t="s">
        <v>1202</v>
      </c>
      <c r="Y327" s="10"/>
      <c r="Z327" s="10"/>
      <c r="AA327" s="7" t="b">
        <v>1</v>
      </c>
      <c r="AB327" s="7">
        <v>0</v>
      </c>
      <c r="AC327" s="14" t="s">
        <v>504</v>
      </c>
      <c r="AD327" s="7">
        <v>3095</v>
      </c>
      <c r="AE327" s="7" t="s">
        <v>147</v>
      </c>
      <c r="AF327" s="10" t="s">
        <v>1294</v>
      </c>
      <c r="AG327" s="14"/>
      <c r="AH327" s="10"/>
      <c r="AJ327" s="32"/>
    </row>
    <row r="328" spans="1:36" s="12" customFormat="1" ht="14" customHeight="1" x14ac:dyDescent="0.2">
      <c r="A328" s="56" t="s">
        <v>761</v>
      </c>
      <c r="B328" s="54">
        <v>174.7</v>
      </c>
      <c r="C328" s="54">
        <v>237</v>
      </c>
      <c r="D328" s="55">
        <v>205.85</v>
      </c>
      <c r="E328" s="54">
        <v>22.4</v>
      </c>
      <c r="F328" s="54">
        <v>78.400000000000006</v>
      </c>
      <c r="G328" s="53">
        <v>31</v>
      </c>
      <c r="H328" s="54">
        <v>117.2</v>
      </c>
      <c r="I328" s="54">
        <v>48.9</v>
      </c>
      <c r="J328" s="54">
        <v>32.799999999999997</v>
      </c>
      <c r="K328" s="54">
        <v>4.5999999999999996</v>
      </c>
      <c r="L328" s="55">
        <v>-10.1</v>
      </c>
      <c r="M328" s="55">
        <v>130.1</v>
      </c>
      <c r="N328" s="54"/>
      <c r="O328" s="54"/>
      <c r="P328" s="54">
        <v>31.037008037819962</v>
      </c>
      <c r="Q328" s="54">
        <v>4.7119577825370733</v>
      </c>
      <c r="R328" s="52">
        <v>501</v>
      </c>
      <c r="S328" s="55">
        <v>-58.299387246410497</v>
      </c>
      <c r="T328" s="55">
        <v>78.068343613417497</v>
      </c>
      <c r="U328" s="54">
        <v>-29.936237405907299</v>
      </c>
      <c r="V328" s="54">
        <v>-137.732851485689</v>
      </c>
      <c r="W328" s="54">
        <v>62.2346390498506</v>
      </c>
      <c r="X328" s="52" t="s">
        <v>1204</v>
      </c>
      <c r="Y328" s="52"/>
      <c r="Z328" s="52"/>
      <c r="AA328" s="52" t="b">
        <v>1</v>
      </c>
      <c r="AB328" s="52" t="s">
        <v>165</v>
      </c>
      <c r="AC328" s="49" t="s">
        <v>762</v>
      </c>
      <c r="AD328" s="52">
        <v>593</v>
      </c>
      <c r="AE328" s="52" t="s">
        <v>147</v>
      </c>
      <c r="AF328" s="56" t="s">
        <v>760</v>
      </c>
      <c r="AG328" s="49" t="s">
        <v>763</v>
      </c>
      <c r="AH328" s="56" t="s">
        <v>1361</v>
      </c>
      <c r="AJ328" s="32"/>
    </row>
    <row r="329" spans="1:36" s="12" customFormat="1" ht="14" customHeight="1" x14ac:dyDescent="0.2">
      <c r="A329" s="56" t="s">
        <v>824</v>
      </c>
      <c r="B329" s="52">
        <v>246.7</v>
      </c>
      <c r="C329" s="52">
        <v>251.9</v>
      </c>
      <c r="D329" s="55">
        <f>(B329+C329)/2</f>
        <v>249.3</v>
      </c>
      <c r="E329" s="52">
        <v>20.5</v>
      </c>
      <c r="F329" s="54">
        <v>79</v>
      </c>
      <c r="G329" s="58">
        <v>23</v>
      </c>
      <c r="H329" s="54">
        <v>100.09999847412109</v>
      </c>
      <c r="I329" s="54">
        <v>62.799999237060547</v>
      </c>
      <c r="J329" s="54">
        <v>43.299999237060547</v>
      </c>
      <c r="K329" s="54">
        <v>4.5999999999999996</v>
      </c>
      <c r="L329" s="58">
        <v>7.3</v>
      </c>
      <c r="M329" s="58">
        <v>124.3</v>
      </c>
      <c r="N329" s="52"/>
      <c r="O329" s="52"/>
      <c r="P329" s="54">
        <v>23.129476696619815</v>
      </c>
      <c r="Q329" s="54">
        <v>6.4312235983630783</v>
      </c>
      <c r="R329" s="52">
        <v>501</v>
      </c>
      <c r="S329" s="55">
        <v>-39.808999044050402</v>
      </c>
      <c r="T329" s="55">
        <v>82.879514170715495</v>
      </c>
      <c r="U329" s="54">
        <v>-30.264448987572599</v>
      </c>
      <c r="V329" s="54">
        <v>-137.978423723238</v>
      </c>
      <c r="W329" s="54">
        <v>61.763538602498798</v>
      </c>
      <c r="X329" s="52" t="s">
        <v>1204</v>
      </c>
      <c r="Y329" s="56"/>
      <c r="Z329" s="56"/>
      <c r="AA329" s="52" t="b">
        <v>1</v>
      </c>
      <c r="AB329" s="52" t="s">
        <v>165</v>
      </c>
      <c r="AC329" s="49" t="s">
        <v>762</v>
      </c>
      <c r="AD329" s="52">
        <v>593</v>
      </c>
      <c r="AE329" s="52" t="s">
        <v>147</v>
      </c>
      <c r="AF329" s="56" t="s">
        <v>817</v>
      </c>
      <c r="AG329" s="49" t="s">
        <v>825</v>
      </c>
      <c r="AH329" s="56"/>
      <c r="AJ329" s="32"/>
    </row>
    <row r="330" spans="1:36" s="17" customFormat="1" ht="14" customHeight="1" x14ac:dyDescent="0.2">
      <c r="A330" s="56" t="s">
        <v>865</v>
      </c>
      <c r="B330" s="54">
        <v>246.7</v>
      </c>
      <c r="C330" s="54">
        <v>259.5</v>
      </c>
      <c r="D330" s="55">
        <f>(B330+C330)/2</f>
        <v>253.1</v>
      </c>
      <c r="E330" s="52">
        <v>23.799999237060547</v>
      </c>
      <c r="F330" s="52">
        <v>85.300003051757812</v>
      </c>
      <c r="G330" s="58">
        <v>13</v>
      </c>
      <c r="H330" s="54">
        <v>110.5</v>
      </c>
      <c r="I330" s="54">
        <v>69</v>
      </c>
      <c r="J330" s="54">
        <v>49</v>
      </c>
      <c r="K330" s="54">
        <v>6</v>
      </c>
      <c r="L330" s="58">
        <v>7.5</v>
      </c>
      <c r="M330" s="58">
        <v>120.5</v>
      </c>
      <c r="N330" s="52"/>
      <c r="O330" s="52"/>
      <c r="P330" s="54">
        <v>20.238782937762331</v>
      </c>
      <c r="Q330" s="54">
        <v>9.4432656065702059</v>
      </c>
      <c r="R330" s="52">
        <v>501</v>
      </c>
      <c r="S330" s="55">
        <v>-37.890358374413097</v>
      </c>
      <c r="T330" s="55">
        <v>78.706213141452807</v>
      </c>
      <c r="U330" s="54">
        <v>-30.293345692988002</v>
      </c>
      <c r="V330" s="54">
        <v>-138.00013952806401</v>
      </c>
      <c r="W330" s="54">
        <v>61.722450163618198</v>
      </c>
      <c r="X330" s="52" t="s">
        <v>1204</v>
      </c>
      <c r="Y330" s="56"/>
      <c r="Z330" s="56"/>
      <c r="AA330" s="52" t="b">
        <v>1</v>
      </c>
      <c r="AB330" s="52" t="s">
        <v>165</v>
      </c>
      <c r="AC330" s="49" t="s">
        <v>866</v>
      </c>
      <c r="AD330" s="52">
        <v>162</v>
      </c>
      <c r="AE330" s="52" t="s">
        <v>147</v>
      </c>
      <c r="AF330" s="56" t="s">
        <v>1398</v>
      </c>
      <c r="AG330" s="49" t="s">
        <v>867</v>
      </c>
      <c r="AH330" s="56"/>
      <c r="AJ330" s="32"/>
    </row>
    <row r="331" spans="1:36" s="12" customFormat="1" ht="14" customHeight="1" x14ac:dyDescent="0.2">
      <c r="A331" s="56" t="s">
        <v>882</v>
      </c>
      <c r="B331" s="54">
        <v>251.9</v>
      </c>
      <c r="C331" s="54">
        <v>259.5</v>
      </c>
      <c r="D331" s="55">
        <f>(B331+C331)/2</f>
        <v>255.7</v>
      </c>
      <c r="E331" s="54">
        <v>20.200000762939453</v>
      </c>
      <c r="F331" s="54">
        <v>79.300003051757812</v>
      </c>
      <c r="G331" s="58">
        <v>17</v>
      </c>
      <c r="H331" s="54">
        <v>302</v>
      </c>
      <c r="I331" s="54">
        <v>-75.099998474121094</v>
      </c>
      <c r="J331" s="54">
        <v>411.1</v>
      </c>
      <c r="K331" s="54">
        <v>1.8</v>
      </c>
      <c r="L331" s="58">
        <v>4.0999999999999996</v>
      </c>
      <c r="M331" s="58">
        <v>102.8</v>
      </c>
      <c r="N331" s="52"/>
      <c r="O331" s="52"/>
      <c r="P331" s="54">
        <v>135.37518062608285</v>
      </c>
      <c r="Q331" s="54">
        <v>3.076861665286156</v>
      </c>
      <c r="R331" s="52">
        <v>501</v>
      </c>
      <c r="S331" s="55">
        <v>-30.461187390322301</v>
      </c>
      <c r="T331" s="55">
        <v>58.922992017038098</v>
      </c>
      <c r="U331" s="54">
        <v>-30.313135038819102</v>
      </c>
      <c r="V331" s="54">
        <v>-138.015020113042</v>
      </c>
      <c r="W331" s="54">
        <v>61.694347541237903</v>
      </c>
      <c r="X331" s="52" t="s">
        <v>1204</v>
      </c>
      <c r="Y331" s="56"/>
      <c r="Z331" s="56"/>
      <c r="AA331" s="52" t="b">
        <v>0</v>
      </c>
      <c r="AB331" s="52" t="s">
        <v>31</v>
      </c>
      <c r="AC331" s="49" t="s">
        <v>762</v>
      </c>
      <c r="AD331" s="52">
        <v>593</v>
      </c>
      <c r="AE331" s="52" t="s">
        <v>147</v>
      </c>
      <c r="AF331" s="56" t="s">
        <v>879</v>
      </c>
      <c r="AG331" s="49" t="s">
        <v>1399</v>
      </c>
      <c r="AH331" s="56"/>
      <c r="AJ331" s="32"/>
    </row>
    <row r="332" spans="1:36" s="12" customFormat="1" ht="14" customHeight="1" x14ac:dyDescent="0.2">
      <c r="A332" s="56" t="s">
        <v>880</v>
      </c>
      <c r="B332" s="54">
        <v>251.9</v>
      </c>
      <c r="C332" s="54">
        <v>259.5</v>
      </c>
      <c r="D332" s="55">
        <f>(B332+C332)/2</f>
        <v>255.7</v>
      </c>
      <c r="E332" s="52">
        <v>32.700000000000003</v>
      </c>
      <c r="F332" s="52">
        <v>71.8</v>
      </c>
      <c r="G332" s="58">
        <v>113</v>
      </c>
      <c r="H332" s="54">
        <v>289.3</v>
      </c>
      <c r="I332" s="54">
        <v>-59.3</v>
      </c>
      <c r="J332" s="54">
        <v>10.7</v>
      </c>
      <c r="K332" s="54">
        <v>4.3</v>
      </c>
      <c r="L332" s="58">
        <v>2.2000000000000002</v>
      </c>
      <c r="M332" s="58">
        <v>125.8</v>
      </c>
      <c r="N332" s="52">
        <v>8.3000000000000007</v>
      </c>
      <c r="O332" s="52">
        <v>4.9000000000000004</v>
      </c>
      <c r="P332" s="54" t="s">
        <v>1203</v>
      </c>
      <c r="Q332" s="54" t="s">
        <v>1203</v>
      </c>
      <c r="R332" s="52">
        <v>501</v>
      </c>
      <c r="S332" s="55">
        <v>-44.996708638143602</v>
      </c>
      <c r="T332" s="55">
        <v>81.758766516288802</v>
      </c>
      <c r="U332" s="54">
        <v>-30.313135038819102</v>
      </c>
      <c r="V332" s="54">
        <v>-138.015020113042</v>
      </c>
      <c r="W332" s="54">
        <v>61.694347541237903</v>
      </c>
      <c r="X332" s="52" t="s">
        <v>1204</v>
      </c>
      <c r="Y332" s="56"/>
      <c r="Z332" s="56"/>
      <c r="AA332" s="52" t="b">
        <v>0</v>
      </c>
      <c r="AB332" s="52" t="s">
        <v>31</v>
      </c>
      <c r="AC332" s="49" t="s">
        <v>881</v>
      </c>
      <c r="AD332" s="52">
        <v>2467</v>
      </c>
      <c r="AE332" s="52" t="s">
        <v>147</v>
      </c>
      <c r="AF332" s="56" t="s">
        <v>879</v>
      </c>
      <c r="AG332" s="49"/>
      <c r="AH332" s="56" t="s">
        <v>1365</v>
      </c>
      <c r="AJ332" s="32"/>
    </row>
    <row r="333" spans="1:36" s="12" customFormat="1" ht="14" customHeight="1" x14ac:dyDescent="0.2">
      <c r="A333" s="56" t="s">
        <v>883</v>
      </c>
      <c r="B333" s="52">
        <v>251.9</v>
      </c>
      <c r="C333" s="52">
        <v>259.5</v>
      </c>
      <c r="D333" s="58">
        <v>255.7</v>
      </c>
      <c r="E333" s="54">
        <v>20</v>
      </c>
      <c r="F333" s="54">
        <v>79</v>
      </c>
      <c r="G333" s="58">
        <v>22</v>
      </c>
      <c r="H333" s="54">
        <v>101.5</v>
      </c>
      <c r="I333" s="54">
        <v>58.5</v>
      </c>
      <c r="J333" s="54">
        <v>24</v>
      </c>
      <c r="K333" s="54">
        <v>6.5</v>
      </c>
      <c r="L333" s="55">
        <v>4</v>
      </c>
      <c r="M333" s="55">
        <v>129</v>
      </c>
      <c r="N333" s="54"/>
      <c r="O333" s="54"/>
      <c r="P333" s="54">
        <v>15.383481280545141</v>
      </c>
      <c r="Q333" s="54">
        <v>8.1677225363751802</v>
      </c>
      <c r="R333" s="52">
        <v>501</v>
      </c>
      <c r="S333" s="55">
        <v>-44.656527931476198</v>
      </c>
      <c r="T333" s="55">
        <v>86.908107271592399</v>
      </c>
      <c r="U333" s="54">
        <v>-30.313135038819102</v>
      </c>
      <c r="V333" s="54">
        <v>-138.015020113042</v>
      </c>
      <c r="W333" s="54">
        <v>61.694347541237903</v>
      </c>
      <c r="X333" s="52" t="s">
        <v>1204</v>
      </c>
      <c r="Y333" s="56"/>
      <c r="Z333" s="56"/>
      <c r="AA333" s="52" t="b">
        <v>1</v>
      </c>
      <c r="AB333" s="52" t="s">
        <v>165</v>
      </c>
      <c r="AC333" s="49" t="s">
        <v>884</v>
      </c>
      <c r="AD333" s="52">
        <v>163</v>
      </c>
      <c r="AE333" s="52" t="s">
        <v>147</v>
      </c>
      <c r="AF333" s="56" t="s">
        <v>879</v>
      </c>
      <c r="AG333" s="49" t="s">
        <v>1401</v>
      </c>
      <c r="AH333" s="56"/>
      <c r="AJ333" s="32"/>
    </row>
    <row r="334" spans="1:36" s="12" customFormat="1" ht="14" customHeight="1" x14ac:dyDescent="0.2">
      <c r="A334" s="56" t="s">
        <v>1089</v>
      </c>
      <c r="B334" s="54">
        <v>259.60000000000002</v>
      </c>
      <c r="C334" s="54">
        <v>323.39999999999998</v>
      </c>
      <c r="D334" s="55">
        <f>(B334+C334)/2</f>
        <v>291.5</v>
      </c>
      <c r="E334" s="54">
        <v>30</v>
      </c>
      <c r="F334" s="54">
        <v>66.900000000000006</v>
      </c>
      <c r="G334" s="53">
        <v>3</v>
      </c>
      <c r="H334" s="54">
        <v>276.5</v>
      </c>
      <c r="I334" s="54">
        <v>-66</v>
      </c>
      <c r="J334" s="54">
        <v>6.1</v>
      </c>
      <c r="K334" s="54">
        <v>12.1</v>
      </c>
      <c r="L334" s="55">
        <v>18.100000000000001</v>
      </c>
      <c r="M334" s="55">
        <v>111</v>
      </c>
      <c r="N334" s="54">
        <v>49</v>
      </c>
      <c r="O334" s="54">
        <v>17.8</v>
      </c>
      <c r="P334" s="54" t="s">
        <v>1203</v>
      </c>
      <c r="Q334" s="54" t="s">
        <v>1203</v>
      </c>
      <c r="R334" s="52">
        <v>501</v>
      </c>
      <c r="S334" s="55">
        <v>-23.786729733946601</v>
      </c>
      <c r="T334" s="55">
        <v>75.707513854865397</v>
      </c>
      <c r="U334" s="54">
        <v>-30.587105422258801</v>
      </c>
      <c r="V334" s="54">
        <v>-138.22178430142901</v>
      </c>
      <c r="W334" s="54">
        <v>61.3082716791764</v>
      </c>
      <c r="X334" s="52" t="s">
        <v>1204</v>
      </c>
      <c r="Y334" s="56"/>
      <c r="Z334" s="56"/>
      <c r="AA334" s="52" t="b">
        <v>1</v>
      </c>
      <c r="AB334" s="52" t="s">
        <v>31</v>
      </c>
      <c r="AC334" s="49" t="s">
        <v>1090</v>
      </c>
      <c r="AD334" s="52">
        <v>1236</v>
      </c>
      <c r="AE334" s="52" t="s">
        <v>147</v>
      </c>
      <c r="AF334" s="56" t="s">
        <v>1091</v>
      </c>
      <c r="AG334" s="49"/>
      <c r="AH334" s="49" t="s">
        <v>1361</v>
      </c>
      <c r="AJ334" s="32"/>
    </row>
    <row r="335" spans="1:36" s="12" customFormat="1" ht="14" customHeight="1" x14ac:dyDescent="0.2">
      <c r="A335" s="56" t="s">
        <v>197</v>
      </c>
      <c r="B335" s="54">
        <v>17</v>
      </c>
      <c r="C335" s="54">
        <v>21</v>
      </c>
      <c r="D335" s="55">
        <v>19</v>
      </c>
      <c r="E335" s="54">
        <v>33.200000000000003</v>
      </c>
      <c r="F335" s="54">
        <v>36.1</v>
      </c>
      <c r="G335" s="53">
        <v>18</v>
      </c>
      <c r="H335" s="54">
        <v>185.7</v>
      </c>
      <c r="I335" s="54">
        <v>36.4</v>
      </c>
      <c r="J335" s="54">
        <v>104.3</v>
      </c>
      <c r="K335" s="54">
        <v>3.4</v>
      </c>
      <c r="L335" s="55">
        <v>-76</v>
      </c>
      <c r="M335" s="58">
        <v>13.5</v>
      </c>
      <c r="N335" s="54"/>
      <c r="O335" s="54"/>
      <c r="P335" s="54">
        <v>151.34086143401467</v>
      </c>
      <c r="Q335" s="54">
        <v>2.8189775823652781</v>
      </c>
      <c r="R335" s="52">
        <v>503</v>
      </c>
      <c r="S335" s="55">
        <v>-73.529355169672996</v>
      </c>
      <c r="T335" s="55">
        <v>347.90944111191499</v>
      </c>
      <c r="U335" s="54">
        <v>-32.173858488499299</v>
      </c>
      <c r="V335" s="54">
        <v>-156.75975038679701</v>
      </c>
      <c r="W335" s="54">
        <v>7.4760894062709102</v>
      </c>
      <c r="X335" s="52" t="s">
        <v>1202</v>
      </c>
      <c r="Y335" s="56"/>
      <c r="Z335" s="56"/>
      <c r="AA335" s="56" t="b">
        <v>0</v>
      </c>
      <c r="AB335" s="52" t="s">
        <v>31</v>
      </c>
      <c r="AC335" s="49" t="s">
        <v>198</v>
      </c>
      <c r="AD335" s="52"/>
      <c r="AE335" s="52" t="s">
        <v>147</v>
      </c>
      <c r="AF335" s="56" t="s">
        <v>1258</v>
      </c>
      <c r="AG335" s="49" t="s">
        <v>1282</v>
      </c>
      <c r="AH335" s="56"/>
      <c r="AJ335" s="32"/>
    </row>
    <row r="336" spans="1:36" s="12" customFormat="1" ht="14" customHeight="1" x14ac:dyDescent="0.2">
      <c r="A336" s="10" t="s">
        <v>229</v>
      </c>
      <c r="B336" s="9">
        <v>27</v>
      </c>
      <c r="C336" s="9">
        <v>31</v>
      </c>
      <c r="D336" s="13">
        <v>29</v>
      </c>
      <c r="E336" s="9">
        <v>15.4</v>
      </c>
      <c r="F336" s="9">
        <v>44.1</v>
      </c>
      <c r="G336" s="34">
        <v>48</v>
      </c>
      <c r="H336" s="9">
        <v>178.9</v>
      </c>
      <c r="I336" s="9">
        <v>-2</v>
      </c>
      <c r="J336" s="9">
        <v>33.6</v>
      </c>
      <c r="K336" s="9">
        <v>3.6</v>
      </c>
      <c r="L336" s="13">
        <v>-74.2</v>
      </c>
      <c r="M336" s="6">
        <v>69.099999999999994</v>
      </c>
      <c r="N336" s="9">
        <v>33.6</v>
      </c>
      <c r="O336" s="9">
        <v>3.6</v>
      </c>
      <c r="P336" s="9" t="s">
        <v>1203</v>
      </c>
      <c r="Q336" s="9" t="s">
        <v>1203</v>
      </c>
      <c r="R336" s="7">
        <v>503</v>
      </c>
      <c r="S336" s="13">
        <v>-78.3832115592474</v>
      </c>
      <c r="T336" s="13">
        <v>42.946560575720099</v>
      </c>
      <c r="U336" s="9">
        <v>-32.451201538695599</v>
      </c>
      <c r="V336" s="9">
        <v>-161.73090925513901</v>
      </c>
      <c r="W336" s="9">
        <v>7.9456083215637401</v>
      </c>
      <c r="X336" s="7" t="s">
        <v>1202</v>
      </c>
      <c r="Y336" s="10"/>
      <c r="Z336" s="10"/>
      <c r="AA336" s="10" t="b">
        <v>1</v>
      </c>
      <c r="AB336" s="7">
        <v>0</v>
      </c>
      <c r="AC336" s="14" t="s">
        <v>230</v>
      </c>
      <c r="AD336" s="7"/>
      <c r="AE336" s="7" t="s">
        <v>147</v>
      </c>
      <c r="AF336" s="10" t="s">
        <v>231</v>
      </c>
      <c r="AG336" s="14"/>
      <c r="AH336" s="10"/>
      <c r="AJ336" s="32"/>
    </row>
    <row r="337" spans="1:36" s="12" customFormat="1" ht="14" customHeight="1" x14ac:dyDescent="0.15">
      <c r="A337" s="56" t="s">
        <v>1175</v>
      </c>
      <c r="B337" s="52">
        <v>298.89999999999998</v>
      </c>
      <c r="C337" s="52">
        <v>323.39999999999998</v>
      </c>
      <c r="D337" s="55">
        <f>(B337+C337)/2</f>
        <v>311.14999999999998</v>
      </c>
      <c r="E337" s="54">
        <v>29.5</v>
      </c>
      <c r="F337" s="54">
        <v>34.5</v>
      </c>
      <c r="G337" s="58">
        <v>9</v>
      </c>
      <c r="H337" s="54">
        <v>148.30000000000001</v>
      </c>
      <c r="I337" s="54">
        <v>46.5</v>
      </c>
      <c r="J337" s="54">
        <v>53</v>
      </c>
      <c r="K337" s="54">
        <v>7.2</v>
      </c>
      <c r="L337" s="55">
        <v>-25.6</v>
      </c>
      <c r="M337" s="55">
        <v>64</v>
      </c>
      <c r="N337" s="54">
        <v>53.5</v>
      </c>
      <c r="O337" s="54">
        <v>7.1</v>
      </c>
      <c r="P337" s="61" t="s">
        <v>1203</v>
      </c>
      <c r="Q337" s="61" t="s">
        <v>1203</v>
      </c>
      <c r="R337" s="52">
        <v>503</v>
      </c>
      <c r="S337" s="55">
        <v>-30.754008878765902</v>
      </c>
      <c r="T337" s="55">
        <v>56.677791399978702</v>
      </c>
      <c r="U337" s="54">
        <v>-34.816262489822201</v>
      </c>
      <c r="V337" s="54">
        <v>-167.61022173436601</v>
      </c>
      <c r="W337" s="54">
        <v>8.4502777154334598</v>
      </c>
      <c r="X337" s="52" t="s">
        <v>1204</v>
      </c>
      <c r="Y337" s="56"/>
      <c r="Z337" s="56"/>
      <c r="AA337" s="52" t="b">
        <v>1</v>
      </c>
      <c r="AB337" s="52" t="s">
        <v>165</v>
      </c>
      <c r="AC337" s="49" t="s">
        <v>1176</v>
      </c>
      <c r="AD337" s="52">
        <v>2784</v>
      </c>
      <c r="AE337" s="52" t="s">
        <v>147</v>
      </c>
      <c r="AF337" s="56" t="s">
        <v>1177</v>
      </c>
      <c r="AG337" s="49" t="s">
        <v>1321</v>
      </c>
      <c r="AH337" s="49" t="s">
        <v>1361</v>
      </c>
      <c r="AJ337" s="32"/>
    </row>
    <row r="338" spans="1:36" s="12" customFormat="1" ht="14" customHeight="1" x14ac:dyDescent="0.2">
      <c r="A338" s="10" t="s">
        <v>49</v>
      </c>
      <c r="B338" s="28">
        <v>2.1000000000000001E-2</v>
      </c>
      <c r="C338" s="28">
        <v>8.4000000000000005E-2</v>
      </c>
      <c r="D338" s="29">
        <f>AVERAGE(B338,C338)</f>
        <v>5.2500000000000005E-2</v>
      </c>
      <c r="E338" s="7">
        <v>35.909999999999997</v>
      </c>
      <c r="F338" s="7">
        <v>137.49</v>
      </c>
      <c r="G338" s="34">
        <v>35</v>
      </c>
      <c r="H338" s="36"/>
      <c r="I338" s="36"/>
      <c r="J338" s="10"/>
      <c r="K338" s="10"/>
      <c r="L338" s="13">
        <v>-86.587712656481898</v>
      </c>
      <c r="M338" s="13">
        <v>279.9358474629496</v>
      </c>
      <c r="N338" s="9">
        <v>15.079337362565999</v>
      </c>
      <c r="O338" s="9">
        <v>6.4563969148226699</v>
      </c>
      <c r="P338" s="9"/>
      <c r="Q338" s="9"/>
      <c r="R338" s="7">
        <v>601</v>
      </c>
      <c r="S338" s="13">
        <v>-86.593005876817202</v>
      </c>
      <c r="T338" s="13">
        <v>279.99029184808899</v>
      </c>
      <c r="U338" s="9">
        <v>21.036298831757598</v>
      </c>
      <c r="V338" s="9">
        <v>-20.4182238715428</v>
      </c>
      <c r="W338" s="9">
        <v>6.57392524937988E-3</v>
      </c>
      <c r="X338" s="7" t="s">
        <v>1202</v>
      </c>
      <c r="Y338" s="10"/>
      <c r="Z338" s="7"/>
      <c r="AA338" s="10" t="b">
        <v>1</v>
      </c>
      <c r="AB338" s="7">
        <v>0</v>
      </c>
      <c r="AC338" s="14" t="s">
        <v>50</v>
      </c>
      <c r="AD338" s="7"/>
      <c r="AE338" s="7" t="s">
        <v>32</v>
      </c>
      <c r="AF338" s="10"/>
      <c r="AG338" s="14"/>
      <c r="AH338" s="10"/>
      <c r="AJ338" s="32"/>
    </row>
    <row r="339" spans="1:36" s="12" customFormat="1" ht="14" customHeight="1" x14ac:dyDescent="0.2">
      <c r="A339" s="10" t="s">
        <v>77</v>
      </c>
      <c r="B339" s="28">
        <v>0.22700000000000001</v>
      </c>
      <c r="C339" s="28">
        <v>0.82199999999999995</v>
      </c>
      <c r="D339" s="29">
        <f>AVERAGE(B339,C339)</f>
        <v>0.52449999999999997</v>
      </c>
      <c r="E339" s="7">
        <v>40.22</v>
      </c>
      <c r="F339" s="7">
        <v>113.73</v>
      </c>
      <c r="G339" s="34">
        <v>16</v>
      </c>
      <c r="H339" s="10"/>
      <c r="I339" s="10"/>
      <c r="J339" s="10"/>
      <c r="K339" s="10"/>
      <c r="L339" s="13">
        <v>-76.287023568970895</v>
      </c>
      <c r="M339" s="13">
        <v>189.46349394593523</v>
      </c>
      <c r="N339" s="9">
        <v>21.430316350628399</v>
      </c>
      <c r="O339" s="9">
        <v>8.1552932968795808</v>
      </c>
      <c r="P339" s="9"/>
      <c r="Q339" s="9"/>
      <c r="R339" s="7">
        <v>601</v>
      </c>
      <c r="S339" s="13">
        <v>-76.317427224295201</v>
      </c>
      <c r="T339" s="13">
        <v>189.268656308293</v>
      </c>
      <c r="U339" s="9">
        <v>21.0281038118959</v>
      </c>
      <c r="V339" s="9">
        <v>-20.366813241303799</v>
      </c>
      <c r="W339" s="9">
        <v>6.5676634022381802E-2</v>
      </c>
      <c r="X339" s="7" t="s">
        <v>1202</v>
      </c>
      <c r="Y339" s="10"/>
      <c r="Z339" s="7"/>
      <c r="AA339" s="10" t="b">
        <v>1</v>
      </c>
      <c r="AB339" s="7">
        <v>0</v>
      </c>
      <c r="AC339" s="14" t="s">
        <v>78</v>
      </c>
      <c r="AD339" s="7"/>
      <c r="AE339" s="7" t="s">
        <v>32</v>
      </c>
      <c r="AF339" s="10"/>
      <c r="AG339" s="14"/>
      <c r="AH339" s="10"/>
      <c r="AJ339" s="32"/>
    </row>
    <row r="340" spans="1:36" s="12" customFormat="1" ht="14" customHeight="1" x14ac:dyDescent="0.2">
      <c r="A340" s="10" t="s">
        <v>81</v>
      </c>
      <c r="B340" s="28">
        <v>0.1</v>
      </c>
      <c r="C340" s="28">
        <v>1</v>
      </c>
      <c r="D340" s="29">
        <f>AVERAGE(B340,C340)</f>
        <v>0.55000000000000004</v>
      </c>
      <c r="E340" s="7">
        <v>38.159999999999997</v>
      </c>
      <c r="F340" s="7">
        <v>140.47</v>
      </c>
      <c r="G340" s="34">
        <v>9</v>
      </c>
      <c r="H340" s="10"/>
      <c r="I340" s="10"/>
      <c r="J340" s="10"/>
      <c r="K340" s="10"/>
      <c r="L340" s="13">
        <v>-82.244636239529697</v>
      </c>
      <c r="M340" s="13">
        <v>22.337862971634991</v>
      </c>
      <c r="N340" s="9">
        <v>22.021379412876001</v>
      </c>
      <c r="O340" s="9">
        <v>11.2178817373141</v>
      </c>
      <c r="P340" s="9"/>
      <c r="Q340" s="9"/>
      <c r="R340" s="7">
        <v>601</v>
      </c>
      <c r="S340" s="13">
        <v>-82.200887887606001</v>
      </c>
      <c r="T340" s="13">
        <v>22.707436611795298</v>
      </c>
      <c r="U340" s="9">
        <v>21.0276609734834</v>
      </c>
      <c r="V340" s="9">
        <v>-20.3640358586857</v>
      </c>
      <c r="W340" s="9">
        <v>6.8869681940535596E-2</v>
      </c>
      <c r="X340" s="7" t="s">
        <v>1202</v>
      </c>
      <c r="Y340" s="10"/>
      <c r="Z340" s="7"/>
      <c r="AA340" s="10" t="b">
        <v>1</v>
      </c>
      <c r="AB340" s="7">
        <v>0</v>
      </c>
      <c r="AC340" s="14" t="s">
        <v>82</v>
      </c>
      <c r="AD340" s="7"/>
      <c r="AE340" s="7" t="s">
        <v>32</v>
      </c>
      <c r="AF340" s="10"/>
      <c r="AG340" s="14"/>
      <c r="AH340" s="10"/>
      <c r="AJ340" s="32"/>
    </row>
    <row r="341" spans="1:36" s="12" customFormat="1" ht="14" customHeight="1" x14ac:dyDescent="0.2">
      <c r="A341" s="10" t="s">
        <v>83</v>
      </c>
      <c r="B341" s="28">
        <v>0.39300000000000002</v>
      </c>
      <c r="C341" s="28">
        <v>0.73</v>
      </c>
      <c r="D341" s="29">
        <f>AVERAGE(B341,C341)</f>
        <v>0.5615</v>
      </c>
      <c r="E341" s="7">
        <v>35.869999999999997</v>
      </c>
      <c r="F341" s="7">
        <v>137.49</v>
      </c>
      <c r="G341" s="34">
        <v>20</v>
      </c>
      <c r="H341" s="36"/>
      <c r="I341" s="36"/>
      <c r="J341" s="10"/>
      <c r="K341" s="10"/>
      <c r="L341" s="13">
        <v>-82.935081249940794</v>
      </c>
      <c r="M341" s="13">
        <v>144.14102746391302</v>
      </c>
      <c r="N341" s="9">
        <v>42.548355692156697</v>
      </c>
      <c r="O341" s="9">
        <v>5.0619866897892498</v>
      </c>
      <c r="P341" s="9"/>
      <c r="Q341" s="9"/>
      <c r="R341" s="7">
        <v>601</v>
      </c>
      <c r="S341" s="13">
        <v>-82.917280197587502</v>
      </c>
      <c r="T341" s="13">
        <v>143.657219589596</v>
      </c>
      <c r="U341" s="9">
        <v>21.027461258724401</v>
      </c>
      <c r="V341" s="9">
        <v>-20.362783316883199</v>
      </c>
      <c r="W341" s="9">
        <v>7.0309683895766903E-2</v>
      </c>
      <c r="X341" s="7" t="s">
        <v>1202</v>
      </c>
      <c r="Y341" s="10"/>
      <c r="Z341" s="7"/>
      <c r="AA341" s="10" t="b">
        <v>1</v>
      </c>
      <c r="AB341" s="7">
        <v>0</v>
      </c>
      <c r="AC341" s="14" t="s">
        <v>84</v>
      </c>
      <c r="AD341" s="7"/>
      <c r="AE341" s="7" t="s">
        <v>32</v>
      </c>
      <c r="AF341" s="10"/>
      <c r="AG341" s="14"/>
      <c r="AH341" s="10"/>
      <c r="AJ341" s="32"/>
    </row>
    <row r="342" spans="1:36" s="12" customFormat="1" ht="14" customHeight="1" x14ac:dyDescent="0.2">
      <c r="A342" s="14" t="s">
        <v>188</v>
      </c>
      <c r="B342" s="9">
        <v>14</v>
      </c>
      <c r="C342" s="9">
        <v>18</v>
      </c>
      <c r="D342" s="13">
        <v>16</v>
      </c>
      <c r="E342" s="9">
        <v>36.200000000000003</v>
      </c>
      <c r="F342" s="9">
        <v>118.5</v>
      </c>
      <c r="G342" s="34">
        <v>9</v>
      </c>
      <c r="H342" s="9">
        <v>5.8</v>
      </c>
      <c r="I342" s="9">
        <v>52.5</v>
      </c>
      <c r="J342" s="9">
        <v>75.2</v>
      </c>
      <c r="K342" s="9">
        <v>6</v>
      </c>
      <c r="L342" s="13">
        <v>-84.3</v>
      </c>
      <c r="M342" s="6">
        <v>53.5</v>
      </c>
      <c r="N342" s="9">
        <v>57.8</v>
      </c>
      <c r="O342" s="9">
        <v>6.8</v>
      </c>
      <c r="P342" s="9" t="s">
        <v>1203</v>
      </c>
      <c r="Q342" s="9" t="s">
        <v>1203</v>
      </c>
      <c r="R342" s="7">
        <v>601</v>
      </c>
      <c r="S342" s="13">
        <v>-82.693219765174803</v>
      </c>
      <c r="T342" s="13">
        <v>58.087576305026602</v>
      </c>
      <c r="U342" s="9">
        <v>15.0351087898462</v>
      </c>
      <c r="V342" s="9">
        <v>-17.839396392297399</v>
      </c>
      <c r="W342" s="9">
        <v>1.73286548108831</v>
      </c>
      <c r="X342" s="7" t="s">
        <v>1202</v>
      </c>
      <c r="Y342" s="28"/>
      <c r="Z342" s="28"/>
      <c r="AA342" s="10" t="b">
        <v>1</v>
      </c>
      <c r="AB342" s="30">
        <v>0</v>
      </c>
      <c r="AC342" s="14" t="s">
        <v>1372</v>
      </c>
      <c r="AD342" s="7"/>
      <c r="AE342" s="7" t="s">
        <v>1369</v>
      </c>
      <c r="AF342" s="10" t="s">
        <v>200</v>
      </c>
      <c r="AG342" s="14"/>
      <c r="AH342" s="10"/>
      <c r="AJ342" s="32"/>
    </row>
    <row r="343" spans="1:36" s="12" customFormat="1" ht="14" customHeight="1" x14ac:dyDescent="0.2">
      <c r="A343" s="10" t="s">
        <v>199</v>
      </c>
      <c r="B343" s="9">
        <v>15</v>
      </c>
      <c r="C343" s="9">
        <v>24</v>
      </c>
      <c r="D343" s="13">
        <v>19.5</v>
      </c>
      <c r="E343" s="9">
        <v>40.200000000000003</v>
      </c>
      <c r="F343" s="9">
        <v>112.7</v>
      </c>
      <c r="G343" s="34">
        <v>16</v>
      </c>
      <c r="H343" s="9">
        <v>6.8</v>
      </c>
      <c r="I343" s="9">
        <v>56.3</v>
      </c>
      <c r="J343" s="9">
        <v>51.6</v>
      </c>
      <c r="K343" s="9">
        <v>5.2</v>
      </c>
      <c r="L343" s="13">
        <v>-83.7</v>
      </c>
      <c r="M343" s="13">
        <v>52.3</v>
      </c>
      <c r="N343" s="9"/>
      <c r="O343" s="9"/>
      <c r="P343" s="9">
        <v>36.272404533550088</v>
      </c>
      <c r="Q343" s="9">
        <v>6.2084653769074665</v>
      </c>
      <c r="R343" s="7">
        <v>601</v>
      </c>
      <c r="S343" s="13">
        <v>-81.483096419846802</v>
      </c>
      <c r="T343" s="13">
        <v>57.740920536658798</v>
      </c>
      <c r="U343" s="9">
        <v>15.2915877030239</v>
      </c>
      <c r="V343" s="9">
        <v>-19.2129228693484</v>
      </c>
      <c r="W343" s="9">
        <v>2.3860046884109201</v>
      </c>
      <c r="X343" s="7" t="s">
        <v>1202</v>
      </c>
      <c r="Y343" s="28"/>
      <c r="Z343" s="28"/>
      <c r="AA343" s="10" t="b">
        <v>1</v>
      </c>
      <c r="AB343" s="30">
        <v>0</v>
      </c>
      <c r="AC343" s="14" t="s">
        <v>1373</v>
      </c>
      <c r="AD343" s="7"/>
      <c r="AE343" s="7" t="s">
        <v>1369</v>
      </c>
      <c r="AF343" s="10" t="s">
        <v>200</v>
      </c>
      <c r="AG343" s="14"/>
      <c r="AH343" s="10"/>
      <c r="AJ343" s="32"/>
    </row>
    <row r="344" spans="1:36" s="12" customFormat="1" ht="14" customHeight="1" x14ac:dyDescent="0.2">
      <c r="A344" s="56" t="s">
        <v>204</v>
      </c>
      <c r="B344" s="54">
        <v>9</v>
      </c>
      <c r="C344" s="54">
        <v>33</v>
      </c>
      <c r="D344" s="55">
        <v>21</v>
      </c>
      <c r="E344" s="54">
        <v>40.9</v>
      </c>
      <c r="F344" s="52">
        <v>113.2</v>
      </c>
      <c r="G344" s="53">
        <v>7</v>
      </c>
      <c r="H344" s="54">
        <v>353.8</v>
      </c>
      <c r="I344" s="54">
        <v>61.7</v>
      </c>
      <c r="J344" s="54">
        <v>49.5</v>
      </c>
      <c r="K344" s="54">
        <v>8.6999999999999993</v>
      </c>
      <c r="L344" s="58">
        <v>-83.8</v>
      </c>
      <c r="M344" s="58">
        <v>247.3</v>
      </c>
      <c r="N344" s="52">
        <v>28.5</v>
      </c>
      <c r="O344" s="54">
        <v>11.5</v>
      </c>
      <c r="P344" s="54" t="s">
        <v>1203</v>
      </c>
      <c r="Q344" s="54" t="s">
        <v>1203</v>
      </c>
      <c r="R344" s="52">
        <v>601</v>
      </c>
      <c r="S344" s="55">
        <v>-86.235179257073597</v>
      </c>
      <c r="T344" s="55">
        <v>245.81912747923101</v>
      </c>
      <c r="U344" s="54">
        <v>17.808234555086798</v>
      </c>
      <c r="V344" s="54">
        <v>-18.8034121187453</v>
      </c>
      <c r="W344" s="54">
        <v>2.5656472865280802</v>
      </c>
      <c r="X344" s="52" t="s">
        <v>1202</v>
      </c>
      <c r="Y344" s="50"/>
      <c r="Z344" s="50"/>
      <c r="AA344" s="56" t="b">
        <v>1</v>
      </c>
      <c r="AB344" s="59" t="s">
        <v>31</v>
      </c>
      <c r="AC344" s="49" t="s">
        <v>1374</v>
      </c>
      <c r="AD344" s="52"/>
      <c r="AE344" s="52" t="s">
        <v>1369</v>
      </c>
      <c r="AF344" s="56" t="s">
        <v>205</v>
      </c>
      <c r="AG344" s="49"/>
      <c r="AH344" s="56" t="s">
        <v>1361</v>
      </c>
      <c r="AJ344" s="32"/>
    </row>
    <row r="345" spans="1:36" s="12" customFormat="1" ht="14" customHeight="1" x14ac:dyDescent="0.2">
      <c r="A345" s="10" t="s">
        <v>209</v>
      </c>
      <c r="B345" s="9">
        <v>22</v>
      </c>
      <c r="C345" s="9">
        <v>23</v>
      </c>
      <c r="D345" s="13">
        <v>22.5</v>
      </c>
      <c r="E345" s="9">
        <v>42</v>
      </c>
      <c r="F345" s="9">
        <v>119.2</v>
      </c>
      <c r="G345" s="34">
        <v>17</v>
      </c>
      <c r="H345" s="9">
        <v>359.8</v>
      </c>
      <c r="I345" s="9">
        <v>62.2</v>
      </c>
      <c r="J345" s="9">
        <v>89.9</v>
      </c>
      <c r="K345" s="9">
        <v>3.8</v>
      </c>
      <c r="L345" s="13">
        <v>-88</v>
      </c>
      <c r="M345" s="13">
        <v>300</v>
      </c>
      <c r="N345" s="9">
        <v>49.9</v>
      </c>
      <c r="O345" s="9">
        <v>5.0999999999999996</v>
      </c>
      <c r="P345" s="9" t="s">
        <v>1203</v>
      </c>
      <c r="Q345" s="9" t="s">
        <v>1203</v>
      </c>
      <c r="R345" s="7">
        <v>601</v>
      </c>
      <c r="S345" s="13">
        <v>-88.033992979085497</v>
      </c>
      <c r="T345" s="13">
        <v>22.077369891752799</v>
      </c>
      <c r="U345" s="9">
        <v>20.0469459880639</v>
      </c>
      <c r="V345" s="9">
        <v>-18.3879517740375</v>
      </c>
      <c r="W345" s="9">
        <v>2.7464402421554599</v>
      </c>
      <c r="X345" s="7" t="s">
        <v>1202</v>
      </c>
      <c r="Y345" s="28"/>
      <c r="Z345" s="28"/>
      <c r="AA345" s="10" t="b">
        <v>1</v>
      </c>
      <c r="AB345" s="30">
        <v>0</v>
      </c>
      <c r="AC345" s="14" t="s">
        <v>1375</v>
      </c>
      <c r="AD345" s="7"/>
      <c r="AE345" s="7" t="s">
        <v>1369</v>
      </c>
      <c r="AF345" s="10" t="s">
        <v>200</v>
      </c>
      <c r="AG345" s="14"/>
      <c r="AH345" s="10"/>
      <c r="AJ345" s="32"/>
    </row>
    <row r="346" spans="1:36" s="12" customFormat="1" ht="14" customHeight="1" x14ac:dyDescent="0.2">
      <c r="A346" s="10" t="s">
        <v>216</v>
      </c>
      <c r="B346" s="9">
        <v>17</v>
      </c>
      <c r="C346" s="9">
        <v>33</v>
      </c>
      <c r="D346" s="13">
        <v>25</v>
      </c>
      <c r="E346" s="9">
        <v>41.1</v>
      </c>
      <c r="F346" s="9">
        <v>114.7</v>
      </c>
      <c r="G346" s="34">
        <v>8</v>
      </c>
      <c r="H346" s="9">
        <v>353.7</v>
      </c>
      <c r="I346" s="9">
        <v>59.4</v>
      </c>
      <c r="J346" s="9">
        <v>15.2</v>
      </c>
      <c r="K346" s="9">
        <v>14.7</v>
      </c>
      <c r="L346" s="13">
        <v>-84.4</v>
      </c>
      <c r="M346" s="6">
        <v>223.2</v>
      </c>
      <c r="N346" s="9">
        <v>9</v>
      </c>
      <c r="O346" s="9">
        <v>19.5</v>
      </c>
      <c r="P346" s="9" t="s">
        <v>1203</v>
      </c>
      <c r="Q346" s="9" t="s">
        <v>1203</v>
      </c>
      <c r="R346" s="7">
        <v>601</v>
      </c>
      <c r="S346" s="13">
        <v>-86.596673011809798</v>
      </c>
      <c r="T346" s="13">
        <v>201.30609870620199</v>
      </c>
      <c r="U346" s="9">
        <v>23.171625971944</v>
      </c>
      <c r="V346" s="9">
        <v>-17.7470667755722</v>
      </c>
      <c r="W346" s="9">
        <v>3.0558452842268902</v>
      </c>
      <c r="X346" s="7" t="s">
        <v>1202</v>
      </c>
      <c r="Y346" s="28"/>
      <c r="Z346" s="28"/>
      <c r="AA346" s="10" t="b">
        <v>1</v>
      </c>
      <c r="AB346" s="30">
        <v>0</v>
      </c>
      <c r="AC346" s="14" t="s">
        <v>1452</v>
      </c>
      <c r="AD346" s="7"/>
      <c r="AE346" s="7" t="s">
        <v>1369</v>
      </c>
      <c r="AF346" s="10" t="s">
        <v>200</v>
      </c>
      <c r="AG346" s="14"/>
      <c r="AH346" s="10"/>
      <c r="AJ346" s="32"/>
    </row>
    <row r="347" spans="1:36" s="17" customFormat="1" ht="14" customHeight="1" x14ac:dyDescent="0.2">
      <c r="A347" s="56" t="s">
        <v>222</v>
      </c>
      <c r="B347" s="54">
        <v>22</v>
      </c>
      <c r="C347" s="54">
        <v>33</v>
      </c>
      <c r="D347" s="55">
        <v>27.5</v>
      </c>
      <c r="E347" s="54">
        <v>42.3</v>
      </c>
      <c r="F347" s="54">
        <v>119</v>
      </c>
      <c r="G347" s="53">
        <v>13</v>
      </c>
      <c r="H347" s="54">
        <v>28.3</v>
      </c>
      <c r="I347" s="54">
        <v>61.3</v>
      </c>
      <c r="J347" s="54">
        <v>9</v>
      </c>
      <c r="K347" s="54">
        <v>14.6</v>
      </c>
      <c r="L347" s="55">
        <v>-68</v>
      </c>
      <c r="M347" s="55">
        <v>11.4</v>
      </c>
      <c r="N347" s="54">
        <v>6.8</v>
      </c>
      <c r="O347" s="54">
        <v>17.100000000000001</v>
      </c>
      <c r="P347" s="54" t="s">
        <v>1203</v>
      </c>
      <c r="Q347" s="54" t="s">
        <v>1203</v>
      </c>
      <c r="R347" s="52">
        <v>601</v>
      </c>
      <c r="S347" s="55">
        <v>-66.122120971249004</v>
      </c>
      <c r="T347" s="55">
        <v>19.539062902831599</v>
      </c>
      <c r="U347" s="54">
        <v>25.093900784188801</v>
      </c>
      <c r="V347" s="54">
        <v>-18.540617545469502</v>
      </c>
      <c r="W347" s="54">
        <v>3.7005257662156699</v>
      </c>
      <c r="X347" s="52" t="s">
        <v>1202</v>
      </c>
      <c r="Y347" s="50"/>
      <c r="Z347" s="50"/>
      <c r="AA347" s="56" t="b">
        <v>0</v>
      </c>
      <c r="AB347" s="59">
        <v>0</v>
      </c>
      <c r="AC347" s="49" t="s">
        <v>1207</v>
      </c>
      <c r="AD347" s="52"/>
      <c r="AE347" s="52" t="s">
        <v>1369</v>
      </c>
      <c r="AF347" s="56" t="s">
        <v>200</v>
      </c>
      <c r="AG347" s="49"/>
      <c r="AH347" s="56"/>
      <c r="AJ347" s="32"/>
    </row>
    <row r="348" spans="1:36" s="17" customFormat="1" ht="14" customHeight="1" x14ac:dyDescent="0.2">
      <c r="A348" s="14" t="s">
        <v>483</v>
      </c>
      <c r="B348" s="9">
        <v>110.6</v>
      </c>
      <c r="C348" s="9">
        <v>114.1</v>
      </c>
      <c r="D348" s="13">
        <f>AVERAGE(B348,C348)</f>
        <v>112.35</v>
      </c>
      <c r="E348" s="9">
        <v>41.2</v>
      </c>
      <c r="F348" s="9">
        <v>104.1</v>
      </c>
      <c r="G348" s="34">
        <v>31</v>
      </c>
      <c r="H348" s="9">
        <v>12.8</v>
      </c>
      <c r="I348" s="9">
        <v>58.6</v>
      </c>
      <c r="J348" s="9">
        <v>125.6</v>
      </c>
      <c r="K348" s="9">
        <v>2.2999999999999998</v>
      </c>
      <c r="L348" s="13">
        <v>-80.3</v>
      </c>
      <c r="M348" s="6">
        <v>20.3</v>
      </c>
      <c r="N348" s="9">
        <v>64.400000000000006</v>
      </c>
      <c r="O348" s="9">
        <v>3.2</v>
      </c>
      <c r="P348" s="9" t="s">
        <v>1203</v>
      </c>
      <c r="Q348" s="9" t="s">
        <v>1203</v>
      </c>
      <c r="R348" s="7">
        <v>601</v>
      </c>
      <c r="S348" s="13">
        <v>-56.3556568730625</v>
      </c>
      <c r="T348" s="13">
        <v>81.384486620557297</v>
      </c>
      <c r="U348" s="9">
        <v>42.645236384315403</v>
      </c>
      <c r="V348" s="9">
        <v>-7.8440033793460398</v>
      </c>
      <c r="W348" s="9">
        <v>36.403174576879799</v>
      </c>
      <c r="X348" s="7" t="s">
        <v>1202</v>
      </c>
      <c r="Y348" s="7"/>
      <c r="Z348" s="7"/>
      <c r="AA348" s="10" t="b">
        <v>1</v>
      </c>
      <c r="AB348" s="30">
        <v>0</v>
      </c>
      <c r="AC348" s="14" t="s">
        <v>1383</v>
      </c>
      <c r="AD348" s="7"/>
      <c r="AE348" s="7" t="s">
        <v>1369</v>
      </c>
      <c r="AF348" s="10" t="s">
        <v>1249</v>
      </c>
      <c r="AG348" s="14"/>
      <c r="AH348" s="10"/>
      <c r="AJ348" s="32"/>
    </row>
    <row r="349" spans="1:36" s="12" customFormat="1" ht="14" customHeight="1" x14ac:dyDescent="0.2">
      <c r="A349" s="10" t="s">
        <v>499</v>
      </c>
      <c r="B349" s="9">
        <v>114</v>
      </c>
      <c r="C349" s="9">
        <v>118</v>
      </c>
      <c r="D349" s="13">
        <v>116</v>
      </c>
      <c r="E349" s="9">
        <v>36.9</v>
      </c>
      <c r="F349" s="9">
        <v>121.2</v>
      </c>
      <c r="G349" s="34">
        <v>11</v>
      </c>
      <c r="H349" s="9">
        <v>1.5</v>
      </c>
      <c r="I349" s="9">
        <v>57</v>
      </c>
      <c r="J349" s="9">
        <v>60.2</v>
      </c>
      <c r="K349" s="9">
        <v>6.3</v>
      </c>
      <c r="L349" s="13">
        <v>-86.5</v>
      </c>
      <c r="M349" s="6">
        <v>341.1</v>
      </c>
      <c r="N349" s="9">
        <v>27.3</v>
      </c>
      <c r="O349" s="9">
        <v>8.9</v>
      </c>
      <c r="P349" s="9" t="s">
        <v>1203</v>
      </c>
      <c r="Q349" s="9" t="s">
        <v>1203</v>
      </c>
      <c r="R349" s="7">
        <v>601</v>
      </c>
      <c r="S349" s="13">
        <v>-61.850694716353203</v>
      </c>
      <c r="T349" s="13">
        <v>88.120860196662704</v>
      </c>
      <c r="U349" s="9">
        <v>43.042510065594399</v>
      </c>
      <c r="V349" s="9">
        <v>-7.8175300910854597</v>
      </c>
      <c r="W349" s="9">
        <v>38.392378976616698</v>
      </c>
      <c r="X349" s="7" t="s">
        <v>1202</v>
      </c>
      <c r="Y349" s="10"/>
      <c r="Z349" s="10"/>
      <c r="AA349" s="10" t="b">
        <v>1</v>
      </c>
      <c r="AB349" s="30">
        <v>0</v>
      </c>
      <c r="AC349" s="14" t="s">
        <v>1458</v>
      </c>
      <c r="AD349" s="7"/>
      <c r="AE349" s="7" t="s">
        <v>1369</v>
      </c>
      <c r="AF349" s="10" t="s">
        <v>500</v>
      </c>
      <c r="AG349" s="14"/>
      <c r="AH349" s="10"/>
      <c r="AJ349" s="32"/>
    </row>
    <row r="350" spans="1:36" s="12" customFormat="1" ht="14" customHeight="1" x14ac:dyDescent="0.2">
      <c r="A350" s="10" t="s">
        <v>512</v>
      </c>
      <c r="B350" s="9">
        <v>116</v>
      </c>
      <c r="C350" s="9">
        <v>120</v>
      </c>
      <c r="D350" s="13">
        <v>118</v>
      </c>
      <c r="E350" s="9">
        <v>37.200000000000003</v>
      </c>
      <c r="F350" s="9">
        <v>122.4</v>
      </c>
      <c r="G350" s="34">
        <v>9</v>
      </c>
      <c r="H350" s="9">
        <v>11.3</v>
      </c>
      <c r="I350" s="9">
        <v>61</v>
      </c>
      <c r="J350" s="9">
        <v>59.5</v>
      </c>
      <c r="K350" s="9">
        <v>6.7</v>
      </c>
      <c r="L350" s="13">
        <v>-80.099999999999994</v>
      </c>
      <c r="M350" s="6">
        <v>0.1</v>
      </c>
      <c r="N350" s="9">
        <v>33.700000000000003</v>
      </c>
      <c r="O350" s="9">
        <v>9</v>
      </c>
      <c r="P350" s="9" t="s">
        <v>1203</v>
      </c>
      <c r="Q350" s="9" t="s">
        <v>1203</v>
      </c>
      <c r="R350" s="7">
        <v>601</v>
      </c>
      <c r="S350" s="13">
        <v>-56.668267936380502</v>
      </c>
      <c r="T350" s="13">
        <v>79.116599913472996</v>
      </c>
      <c r="U350" s="9">
        <v>43.245714943368803</v>
      </c>
      <c r="V350" s="9">
        <v>-7.7971076528182799</v>
      </c>
      <c r="W350" s="9">
        <v>39.4828461699272</v>
      </c>
      <c r="X350" s="7" t="s">
        <v>1202</v>
      </c>
      <c r="Y350" s="10"/>
      <c r="Z350" s="10"/>
      <c r="AA350" s="10" t="b">
        <v>1</v>
      </c>
      <c r="AB350" s="30">
        <v>0</v>
      </c>
      <c r="AC350" s="14" t="s">
        <v>1385</v>
      </c>
      <c r="AD350" s="7"/>
      <c r="AE350" s="7" t="s">
        <v>1369</v>
      </c>
      <c r="AF350" s="10" t="s">
        <v>1214</v>
      </c>
      <c r="AG350" s="14"/>
      <c r="AH350" s="10"/>
      <c r="AJ350" s="32"/>
    </row>
    <row r="351" spans="1:36" s="12" customFormat="1" ht="14" customHeight="1" x14ac:dyDescent="0.2">
      <c r="A351" s="10" t="s">
        <v>517</v>
      </c>
      <c r="B351" s="9">
        <v>117</v>
      </c>
      <c r="C351" s="9">
        <v>121</v>
      </c>
      <c r="D351" s="13">
        <v>119</v>
      </c>
      <c r="E351" s="9">
        <v>40.9</v>
      </c>
      <c r="F351" s="9">
        <v>119.8</v>
      </c>
      <c r="G351" s="34">
        <v>5</v>
      </c>
      <c r="H351" s="9">
        <v>11.1</v>
      </c>
      <c r="I351" s="9">
        <v>57.2</v>
      </c>
      <c r="J351" s="9">
        <v>183</v>
      </c>
      <c r="K351" s="9">
        <v>5.7</v>
      </c>
      <c r="L351" s="13">
        <v>-81.099999999999994</v>
      </c>
      <c r="M351" s="13">
        <v>44.2</v>
      </c>
      <c r="N351" s="9">
        <v>31.5</v>
      </c>
      <c r="O351" s="9">
        <v>7.6</v>
      </c>
      <c r="P351" s="9" t="s">
        <v>1203</v>
      </c>
      <c r="Q351" s="9" t="s">
        <v>1203</v>
      </c>
      <c r="R351" s="7">
        <v>601</v>
      </c>
      <c r="S351" s="13">
        <v>-52.881883854705301</v>
      </c>
      <c r="T351" s="13">
        <v>90.271202103712099</v>
      </c>
      <c r="U351" s="9">
        <v>43.343837940687699</v>
      </c>
      <c r="V351" s="9">
        <v>-7.7854532752349002</v>
      </c>
      <c r="W351" s="9">
        <v>40.028194686559203</v>
      </c>
      <c r="X351" s="7" t="s">
        <v>1202</v>
      </c>
      <c r="Y351" s="10"/>
      <c r="Z351" s="10"/>
      <c r="AA351" s="10" t="b">
        <v>1</v>
      </c>
      <c r="AB351" s="30">
        <v>0</v>
      </c>
      <c r="AC351" s="14" t="s">
        <v>1459</v>
      </c>
      <c r="AD351" s="7"/>
      <c r="AE351" s="7" t="s">
        <v>1369</v>
      </c>
      <c r="AF351" s="10" t="s">
        <v>1210</v>
      </c>
      <c r="AG351" s="14"/>
      <c r="AH351" s="10"/>
      <c r="AJ351" s="32"/>
    </row>
    <row r="352" spans="1:36" s="12" customFormat="1" ht="15" customHeight="1" x14ac:dyDescent="0.2">
      <c r="A352" s="56" t="s">
        <v>518</v>
      </c>
      <c r="B352" s="54">
        <v>120.13</v>
      </c>
      <c r="C352" s="54">
        <v>121.73</v>
      </c>
      <c r="D352" s="55">
        <v>120.93</v>
      </c>
      <c r="E352" s="54">
        <v>41.5</v>
      </c>
      <c r="F352" s="54">
        <v>121.1</v>
      </c>
      <c r="G352" s="53">
        <v>20</v>
      </c>
      <c r="H352" s="54">
        <v>354.9</v>
      </c>
      <c r="I352" s="54">
        <v>60.1</v>
      </c>
      <c r="J352" s="54">
        <v>196.3</v>
      </c>
      <c r="K352" s="54">
        <v>2.2999999999999998</v>
      </c>
      <c r="L352" s="55">
        <v>-86.1</v>
      </c>
      <c r="M352" s="55">
        <v>205.9</v>
      </c>
      <c r="N352" s="54">
        <v>103.4</v>
      </c>
      <c r="O352" s="54">
        <v>3.2</v>
      </c>
      <c r="P352" s="54" t="s">
        <v>1203</v>
      </c>
      <c r="Q352" s="54" t="s">
        <v>1203</v>
      </c>
      <c r="R352" s="52">
        <v>601</v>
      </c>
      <c r="S352" s="55">
        <v>-63.182705889846901</v>
      </c>
      <c r="T352" s="55">
        <v>102.660709822103</v>
      </c>
      <c r="U352" s="54">
        <v>43.474083341929898</v>
      </c>
      <c r="V352" s="54">
        <v>-7.63254291725685</v>
      </c>
      <c r="W352" s="54">
        <v>41.222682775827899</v>
      </c>
      <c r="X352" s="52" t="s">
        <v>1202</v>
      </c>
      <c r="Y352" s="56"/>
      <c r="Z352" s="56"/>
      <c r="AA352" s="56" t="b">
        <v>0</v>
      </c>
      <c r="AB352" s="59">
        <v>0</v>
      </c>
      <c r="AC352" s="49" t="s">
        <v>1460</v>
      </c>
      <c r="AD352" s="52"/>
      <c r="AE352" s="52" t="s">
        <v>1369</v>
      </c>
      <c r="AF352" s="56" t="s">
        <v>200</v>
      </c>
      <c r="AG352" s="49"/>
      <c r="AH352" s="56"/>
      <c r="AJ352" s="32"/>
    </row>
    <row r="353" spans="1:36" s="17" customFormat="1" ht="14" customHeight="1" x14ac:dyDescent="0.2">
      <c r="A353" s="49" t="s">
        <v>326</v>
      </c>
      <c r="B353" s="54">
        <v>59</v>
      </c>
      <c r="C353" s="54">
        <v>62</v>
      </c>
      <c r="D353" s="55">
        <v>60.5</v>
      </c>
      <c r="E353" s="52">
        <v>25.5</v>
      </c>
      <c r="F353" s="52">
        <v>114.5</v>
      </c>
      <c r="G353" s="58">
        <v>70</v>
      </c>
      <c r="H353" s="52">
        <v>13.3</v>
      </c>
      <c r="I353" s="52">
        <v>38.5</v>
      </c>
      <c r="J353" s="52">
        <v>18.100000000000001</v>
      </c>
      <c r="K353" s="52">
        <v>4.0999999999999996</v>
      </c>
      <c r="L353" s="55">
        <v>-77.2</v>
      </c>
      <c r="M353" s="58">
        <v>39.1</v>
      </c>
      <c r="N353" s="54"/>
      <c r="O353" s="54"/>
      <c r="P353" s="61">
        <v>24.635041623106101</v>
      </c>
      <c r="Q353" s="64">
        <v>3.4852071949145214</v>
      </c>
      <c r="R353" s="52">
        <v>602</v>
      </c>
      <c r="S353" s="55">
        <v>-69.225106251195299</v>
      </c>
      <c r="T353" s="55">
        <v>60.682064222940703</v>
      </c>
      <c r="U353" s="54">
        <v>34.815895582088999</v>
      </c>
      <c r="V353" s="54">
        <v>-10.0735296806664</v>
      </c>
      <c r="W353" s="54">
        <v>11.1217983459685</v>
      </c>
      <c r="X353" s="52" t="s">
        <v>1204</v>
      </c>
      <c r="Y353" s="50">
        <v>0.5</v>
      </c>
      <c r="Z353" s="50"/>
      <c r="AA353" s="52" t="s">
        <v>211</v>
      </c>
      <c r="AB353" s="52" t="s">
        <v>211</v>
      </c>
      <c r="AC353" s="56" t="s">
        <v>327</v>
      </c>
      <c r="AD353" s="52"/>
      <c r="AE353" s="52" t="s">
        <v>1369</v>
      </c>
      <c r="AF353" s="56" t="s">
        <v>164</v>
      </c>
      <c r="AG353" s="49"/>
      <c r="AH353" s="56"/>
      <c r="AJ353" s="32"/>
    </row>
    <row r="354" spans="1:36" s="12" customFormat="1" ht="14" customHeight="1" x14ac:dyDescent="0.2">
      <c r="A354" s="14" t="s">
        <v>432</v>
      </c>
      <c r="B354" s="9">
        <v>87.9</v>
      </c>
      <c r="C354" s="9">
        <v>88.6</v>
      </c>
      <c r="D354" s="13">
        <f>(B354+C354)/2</f>
        <v>88.25</v>
      </c>
      <c r="E354" s="9">
        <v>25.7</v>
      </c>
      <c r="F354" s="9">
        <v>119</v>
      </c>
      <c r="G354" s="34">
        <v>19</v>
      </c>
      <c r="H354" s="9">
        <v>3</v>
      </c>
      <c r="I354" s="9">
        <v>60.5</v>
      </c>
      <c r="J354" s="9">
        <v>114.61988304093565</v>
      </c>
      <c r="K354" s="9">
        <v>3</v>
      </c>
      <c r="L354" s="13">
        <v>-83.1</v>
      </c>
      <c r="M354" s="6">
        <v>332.6</v>
      </c>
      <c r="N354" s="9">
        <v>76.5</v>
      </c>
      <c r="O354" s="9">
        <v>3.9</v>
      </c>
      <c r="P354" s="9" t="s">
        <v>1203</v>
      </c>
      <c r="Q354" s="9" t="s">
        <v>1203</v>
      </c>
      <c r="R354" s="7">
        <v>602</v>
      </c>
      <c r="S354" s="13">
        <v>-73.405908820665701</v>
      </c>
      <c r="T354" s="13">
        <v>62.306817756434</v>
      </c>
      <c r="U354" s="9">
        <v>39.888009506605897</v>
      </c>
      <c r="V354" s="9">
        <v>-10.169663723018299</v>
      </c>
      <c r="W354" s="9">
        <v>21.449106938068098</v>
      </c>
      <c r="X354" s="7" t="s">
        <v>1202</v>
      </c>
      <c r="Y354" s="7"/>
      <c r="Z354" s="7"/>
      <c r="AA354" s="10" t="b">
        <v>1</v>
      </c>
      <c r="AB354" s="7">
        <v>0</v>
      </c>
      <c r="AC354" s="14" t="s">
        <v>1456</v>
      </c>
      <c r="AD354" s="7"/>
      <c r="AE354" s="7" t="s">
        <v>1369</v>
      </c>
      <c r="AF354" s="14" t="s">
        <v>1217</v>
      </c>
      <c r="AG354" s="14"/>
      <c r="AH354" s="7"/>
      <c r="AJ354" s="32"/>
    </row>
    <row r="355" spans="1:36" s="12" customFormat="1" ht="14" customHeight="1" x14ac:dyDescent="0.2">
      <c r="A355" s="10" t="s">
        <v>121</v>
      </c>
      <c r="B355" s="28">
        <v>0.5</v>
      </c>
      <c r="C355" s="28">
        <v>5.5</v>
      </c>
      <c r="D355" s="29">
        <f>AVERAGE(B355,C355)</f>
        <v>3</v>
      </c>
      <c r="E355" s="7">
        <v>0.28999999999999998</v>
      </c>
      <c r="F355" s="7">
        <v>6.62</v>
      </c>
      <c r="G355" s="34">
        <v>38</v>
      </c>
      <c r="H355" s="10"/>
      <c r="I355" s="10"/>
      <c r="J355" s="10"/>
      <c r="K355" s="10"/>
      <c r="L355" s="13">
        <v>-86.296110090627096</v>
      </c>
      <c r="M355" s="13">
        <v>40.230339520148988</v>
      </c>
      <c r="N355" s="9">
        <v>52.017762667390699</v>
      </c>
      <c r="O355" s="9">
        <v>3.2503710221726601</v>
      </c>
      <c r="P355" s="9"/>
      <c r="Q355" s="9"/>
      <c r="R355" s="7">
        <v>701</v>
      </c>
      <c r="S355" s="13">
        <v>-86.296110090627096</v>
      </c>
      <c r="T355" s="13">
        <v>40.230339520148902</v>
      </c>
      <c r="U355" s="9">
        <v>0</v>
      </c>
      <c r="V355" s="9">
        <v>0</v>
      </c>
      <c r="W355" s="9">
        <v>0</v>
      </c>
      <c r="X355" s="7" t="s">
        <v>1202</v>
      </c>
      <c r="Y355" s="10"/>
      <c r="Z355" s="7"/>
      <c r="AA355" s="10" t="b">
        <v>1</v>
      </c>
      <c r="AB355" s="7">
        <v>0</v>
      </c>
      <c r="AC355" s="10" t="s">
        <v>122</v>
      </c>
      <c r="AD355" s="7"/>
      <c r="AE355" s="7" t="s">
        <v>32</v>
      </c>
      <c r="AF355" s="10"/>
      <c r="AG355" s="14"/>
      <c r="AH355" s="10"/>
      <c r="AJ355" s="32"/>
    </row>
    <row r="356" spans="1:36" s="12" customFormat="1" ht="14" customHeight="1" x14ac:dyDescent="0.2">
      <c r="A356" s="56" t="s">
        <v>435</v>
      </c>
      <c r="B356" s="54">
        <v>81</v>
      </c>
      <c r="C356" s="54">
        <v>100</v>
      </c>
      <c r="D356" s="58">
        <v>90.5</v>
      </c>
      <c r="E356" s="54">
        <v>-29</v>
      </c>
      <c r="F356" s="54">
        <v>26</v>
      </c>
      <c r="G356" s="53">
        <v>14</v>
      </c>
      <c r="H356" s="54">
        <v>345.7</v>
      </c>
      <c r="I356" s="54">
        <v>-69.099999999999994</v>
      </c>
      <c r="J356" s="54">
        <v>165.4</v>
      </c>
      <c r="K356" s="54">
        <v>3.1</v>
      </c>
      <c r="L356" s="55">
        <v>-64.099999999999994</v>
      </c>
      <c r="M356" s="58">
        <v>46.1</v>
      </c>
      <c r="N356" s="54">
        <v>59</v>
      </c>
      <c r="O356" s="54">
        <v>5.2</v>
      </c>
      <c r="P356" s="54" t="s">
        <v>1203</v>
      </c>
      <c r="Q356" s="54" t="s">
        <v>1203</v>
      </c>
      <c r="R356" s="52">
        <v>701</v>
      </c>
      <c r="S356" s="55">
        <v>-64.099999999999994</v>
      </c>
      <c r="T356" s="55">
        <v>46.099999999999902</v>
      </c>
      <c r="U356" s="54">
        <v>0</v>
      </c>
      <c r="V356" s="54">
        <v>0</v>
      </c>
      <c r="W356" s="54">
        <v>0</v>
      </c>
      <c r="X356" s="52" t="s">
        <v>1202</v>
      </c>
      <c r="Y356" s="52"/>
      <c r="Z356" s="52"/>
      <c r="AA356" s="56" t="b">
        <v>1</v>
      </c>
      <c r="AB356" s="52" t="s">
        <v>31</v>
      </c>
      <c r="AC356" s="49" t="s">
        <v>436</v>
      </c>
      <c r="AD356" s="52">
        <v>2293</v>
      </c>
      <c r="AE356" s="52" t="s">
        <v>147</v>
      </c>
      <c r="AF356" s="56" t="s">
        <v>437</v>
      </c>
      <c r="AG356" s="49"/>
      <c r="AH356" s="56"/>
      <c r="AJ356" s="32"/>
    </row>
    <row r="357" spans="1:36" s="12" customFormat="1" ht="14" customHeight="1" x14ac:dyDescent="0.2">
      <c r="A357" s="56" t="s">
        <v>535</v>
      </c>
      <c r="B357" s="54">
        <v>113</v>
      </c>
      <c r="C357" s="54">
        <v>145</v>
      </c>
      <c r="D357" s="55">
        <v>129</v>
      </c>
      <c r="E357" s="52">
        <v>-28.5</v>
      </c>
      <c r="F357" s="52">
        <v>24</v>
      </c>
      <c r="G357" s="58">
        <v>10</v>
      </c>
      <c r="H357" s="52">
        <v>310.10000000000002</v>
      </c>
      <c r="I357" s="52">
        <v>-55.9</v>
      </c>
      <c r="J357" s="52">
        <v>51.4</v>
      </c>
      <c r="K357" s="52">
        <v>6.8</v>
      </c>
      <c r="L357" s="55">
        <v>-47.6</v>
      </c>
      <c r="M357" s="58">
        <v>89.9</v>
      </c>
      <c r="N357" s="54">
        <v>26</v>
      </c>
      <c r="O357" s="52">
        <v>9.6999999999999993</v>
      </c>
      <c r="P357" s="64" t="s">
        <v>1203</v>
      </c>
      <c r="Q357" s="64" t="s">
        <v>1203</v>
      </c>
      <c r="R357" s="52">
        <v>701</v>
      </c>
      <c r="S357" s="55">
        <v>-47.6</v>
      </c>
      <c r="T357" s="55">
        <v>89.9</v>
      </c>
      <c r="U357" s="54">
        <v>0</v>
      </c>
      <c r="V357" s="54">
        <v>0</v>
      </c>
      <c r="W357" s="54">
        <v>0</v>
      </c>
      <c r="X357" s="52" t="s">
        <v>1202</v>
      </c>
      <c r="Y357" s="56"/>
      <c r="Z357" s="56"/>
      <c r="AA357" s="52" t="b">
        <v>1</v>
      </c>
      <c r="AB357" s="52" t="s">
        <v>31</v>
      </c>
      <c r="AC357" s="65" t="s">
        <v>436</v>
      </c>
      <c r="AD357" s="52">
        <v>2293</v>
      </c>
      <c r="AE357" s="52" t="s">
        <v>147</v>
      </c>
      <c r="AF357" s="66" t="s">
        <v>536</v>
      </c>
      <c r="AG357" s="49"/>
      <c r="AH357" s="56" t="s">
        <v>1361</v>
      </c>
      <c r="AJ357" s="32"/>
    </row>
    <row r="358" spans="1:36" s="12" customFormat="1" ht="14" customHeight="1" x14ac:dyDescent="0.2">
      <c r="A358" s="10" t="s">
        <v>547</v>
      </c>
      <c r="B358" s="9">
        <v>131</v>
      </c>
      <c r="C358" s="9">
        <v>136</v>
      </c>
      <c r="D358" s="13">
        <v>133.5</v>
      </c>
      <c r="E358" s="9">
        <v>-20</v>
      </c>
      <c r="F358" s="7">
        <v>14</v>
      </c>
      <c r="G358" s="6">
        <v>40</v>
      </c>
      <c r="H358" s="7">
        <v>315</v>
      </c>
      <c r="I358" s="7">
        <v>-44.5</v>
      </c>
      <c r="J358" s="7">
        <v>53.3</v>
      </c>
      <c r="K358" s="7">
        <v>3.1</v>
      </c>
      <c r="L358" s="13">
        <v>-48.3</v>
      </c>
      <c r="M358" s="6">
        <v>86.6</v>
      </c>
      <c r="N358" s="7"/>
      <c r="O358" s="7"/>
      <c r="P358" s="9">
        <v>59.347930862854042</v>
      </c>
      <c r="Q358" s="9">
        <v>2.9593407733359478</v>
      </c>
      <c r="R358" s="7">
        <v>701</v>
      </c>
      <c r="S358" s="13">
        <v>-48.3</v>
      </c>
      <c r="T358" s="13">
        <v>86.6</v>
      </c>
      <c r="U358" s="9">
        <v>0</v>
      </c>
      <c r="V358" s="9">
        <v>0</v>
      </c>
      <c r="W358" s="9">
        <v>0</v>
      </c>
      <c r="X358" s="7" t="s">
        <v>1202</v>
      </c>
      <c r="Y358" s="10"/>
      <c r="Z358" s="10"/>
      <c r="AA358" s="7" t="b">
        <v>1</v>
      </c>
      <c r="AB358" s="7">
        <v>0</v>
      </c>
      <c r="AC358" s="40" t="s">
        <v>548</v>
      </c>
      <c r="AD358" s="7">
        <v>126</v>
      </c>
      <c r="AE358" s="7" t="s">
        <v>147</v>
      </c>
      <c r="AF358" s="10" t="s">
        <v>1296</v>
      </c>
      <c r="AG358" s="14" t="s">
        <v>1261</v>
      </c>
      <c r="AH358" s="10"/>
      <c r="AJ358" s="32"/>
    </row>
    <row r="359" spans="1:36" s="19" customFormat="1" ht="14" customHeight="1" x14ac:dyDescent="0.2">
      <c r="A359" s="14" t="s">
        <v>552</v>
      </c>
      <c r="B359" s="9">
        <v>131</v>
      </c>
      <c r="C359" s="9">
        <v>136</v>
      </c>
      <c r="D359" s="13">
        <v>133.5</v>
      </c>
      <c r="E359" s="9">
        <v>-20</v>
      </c>
      <c r="F359" s="9">
        <v>14.1</v>
      </c>
      <c r="G359" s="34">
        <v>21</v>
      </c>
      <c r="H359" s="9">
        <v>314.39999999999998</v>
      </c>
      <c r="I359" s="9">
        <v>-42.7</v>
      </c>
      <c r="J359" s="9"/>
      <c r="K359" s="9"/>
      <c r="L359" s="13">
        <v>-47.5</v>
      </c>
      <c r="M359" s="13">
        <v>88.9</v>
      </c>
      <c r="N359" s="9">
        <v>26.1</v>
      </c>
      <c r="O359" s="9">
        <v>6.3</v>
      </c>
      <c r="P359" s="9" t="s">
        <v>1203</v>
      </c>
      <c r="Q359" s="9" t="s">
        <v>1203</v>
      </c>
      <c r="R359" s="7">
        <v>701</v>
      </c>
      <c r="S359" s="13">
        <v>-47.5</v>
      </c>
      <c r="T359" s="13">
        <v>88.9</v>
      </c>
      <c r="U359" s="9">
        <v>0</v>
      </c>
      <c r="V359" s="9">
        <v>0</v>
      </c>
      <c r="W359" s="9">
        <v>0</v>
      </c>
      <c r="X359" s="7" t="s">
        <v>1202</v>
      </c>
      <c r="Y359" s="7"/>
      <c r="Z359" s="7"/>
      <c r="AA359" s="7" t="b">
        <v>1</v>
      </c>
      <c r="AB359" s="7">
        <v>0</v>
      </c>
      <c r="AC359" s="14" t="s">
        <v>543</v>
      </c>
      <c r="AD359" s="7"/>
      <c r="AE359" s="7" t="s">
        <v>1369</v>
      </c>
      <c r="AF359" s="10" t="s">
        <v>1219</v>
      </c>
      <c r="AG359" s="14"/>
      <c r="AH359" s="10"/>
      <c r="AJ359" s="32"/>
    </row>
    <row r="360" spans="1:36" s="12" customFormat="1" ht="14" customHeight="1" x14ac:dyDescent="0.2">
      <c r="A360" s="14" t="s">
        <v>549</v>
      </c>
      <c r="B360" s="9">
        <v>131</v>
      </c>
      <c r="C360" s="9">
        <v>136</v>
      </c>
      <c r="D360" s="13">
        <v>133.5</v>
      </c>
      <c r="E360" s="9">
        <v>-19.850000000000001</v>
      </c>
      <c r="F360" s="9">
        <v>14.1</v>
      </c>
      <c r="G360" s="34">
        <v>33</v>
      </c>
      <c r="H360" s="9">
        <v>133.69999999999999</v>
      </c>
      <c r="I360" s="9">
        <v>46.5</v>
      </c>
      <c r="J360" s="9">
        <v>29.3</v>
      </c>
      <c r="K360" s="9">
        <v>4.7</v>
      </c>
      <c r="L360" s="13">
        <v>-47.2</v>
      </c>
      <c r="M360" s="13">
        <v>84.2</v>
      </c>
      <c r="N360" s="9"/>
      <c r="O360" s="9"/>
      <c r="P360" s="9">
        <v>30.344322545332385</v>
      </c>
      <c r="Q360" s="9">
        <v>4.61324897976366</v>
      </c>
      <c r="R360" s="7">
        <v>701</v>
      </c>
      <c r="S360" s="13">
        <v>-47.2</v>
      </c>
      <c r="T360" s="13">
        <v>84.2</v>
      </c>
      <c r="U360" s="9">
        <v>0</v>
      </c>
      <c r="V360" s="9">
        <v>0</v>
      </c>
      <c r="W360" s="9">
        <v>0</v>
      </c>
      <c r="X360" s="7" t="s">
        <v>1202</v>
      </c>
      <c r="Y360" s="7"/>
      <c r="Z360" s="7"/>
      <c r="AA360" s="7" t="b">
        <v>1</v>
      </c>
      <c r="AB360" s="7">
        <v>0</v>
      </c>
      <c r="AC360" s="14" t="s">
        <v>550</v>
      </c>
      <c r="AD360" s="7"/>
      <c r="AE360" s="7" t="s">
        <v>1369</v>
      </c>
      <c r="AF360" s="10" t="s">
        <v>1219</v>
      </c>
      <c r="AG360" s="14"/>
      <c r="AH360" s="10"/>
      <c r="AJ360" s="32"/>
    </row>
    <row r="361" spans="1:36" s="12" customFormat="1" ht="14" customHeight="1" x14ac:dyDescent="0.2">
      <c r="A361" s="14" t="s">
        <v>551</v>
      </c>
      <c r="B361" s="9">
        <v>131</v>
      </c>
      <c r="C361" s="9">
        <v>136</v>
      </c>
      <c r="D361" s="13">
        <v>133.5</v>
      </c>
      <c r="E361" s="9">
        <v>-21.3</v>
      </c>
      <c r="F361" s="9">
        <v>14.2</v>
      </c>
      <c r="G361" s="34">
        <v>37</v>
      </c>
      <c r="H361" s="9">
        <v>140.19999999999999</v>
      </c>
      <c r="I361" s="9">
        <v>31.8</v>
      </c>
      <c r="J361" s="9">
        <v>15.9</v>
      </c>
      <c r="K361" s="9">
        <v>6.1</v>
      </c>
      <c r="L361" s="13">
        <v>-52.3</v>
      </c>
      <c r="M361" s="13">
        <v>91.7</v>
      </c>
      <c r="N361" s="9"/>
      <c r="O361" s="9"/>
      <c r="P361" s="9">
        <v>26.228128434282802</v>
      </c>
      <c r="Q361" s="9">
        <v>4.6863194395127348</v>
      </c>
      <c r="R361" s="7">
        <v>701</v>
      </c>
      <c r="S361" s="13">
        <v>-52.299999999999898</v>
      </c>
      <c r="T361" s="13">
        <v>91.7</v>
      </c>
      <c r="U361" s="9">
        <v>0</v>
      </c>
      <c r="V361" s="9">
        <v>0</v>
      </c>
      <c r="W361" s="9">
        <v>0</v>
      </c>
      <c r="X361" s="7" t="s">
        <v>1202</v>
      </c>
      <c r="Y361" s="7"/>
      <c r="Z361" s="7"/>
      <c r="AA361" s="7" t="b">
        <v>1</v>
      </c>
      <c r="AB361" s="7">
        <v>0</v>
      </c>
      <c r="AC361" s="14" t="s">
        <v>550</v>
      </c>
      <c r="AD361" s="7"/>
      <c r="AE361" s="7" t="s">
        <v>1369</v>
      </c>
      <c r="AF361" s="10" t="s">
        <v>1219</v>
      </c>
      <c r="AG361" s="14"/>
      <c r="AH361" s="10"/>
      <c r="AJ361" s="32"/>
    </row>
    <row r="362" spans="1:36" s="16" customFormat="1" ht="13" x14ac:dyDescent="0.15">
      <c r="A362" s="10" t="s">
        <v>647</v>
      </c>
      <c r="B362" s="9">
        <v>177.5</v>
      </c>
      <c r="C362" s="9">
        <v>183.3</v>
      </c>
      <c r="D362" s="13">
        <f>(B362+C362)/2</f>
        <v>180.4</v>
      </c>
      <c r="E362" s="9">
        <v>-17.899999999999999</v>
      </c>
      <c r="F362" s="9">
        <v>26.17</v>
      </c>
      <c r="G362" s="6">
        <v>5</v>
      </c>
      <c r="H362" s="9">
        <v>335</v>
      </c>
      <c r="I362" s="9">
        <v>-49.7</v>
      </c>
      <c r="J362" s="9">
        <v>33.9</v>
      </c>
      <c r="K362" s="9">
        <v>13.3</v>
      </c>
      <c r="L362" s="13">
        <v>-63.9</v>
      </c>
      <c r="M362" s="13">
        <v>80.599999999999994</v>
      </c>
      <c r="N362" s="9">
        <v>27.4</v>
      </c>
      <c r="O362" s="9">
        <v>14.9</v>
      </c>
      <c r="P362" s="9" t="s">
        <v>1203</v>
      </c>
      <c r="Q362" s="9" t="s">
        <v>1203</v>
      </c>
      <c r="R362" s="7">
        <v>701</v>
      </c>
      <c r="S362" s="13">
        <v>-63.9</v>
      </c>
      <c r="T362" s="13">
        <v>80.599999999999994</v>
      </c>
      <c r="U362" s="9">
        <v>0</v>
      </c>
      <c r="V362" s="9">
        <v>0</v>
      </c>
      <c r="W362" s="9">
        <v>0</v>
      </c>
      <c r="X362" s="7" t="s">
        <v>1202</v>
      </c>
      <c r="Y362" s="10"/>
      <c r="Z362" s="10"/>
      <c r="AA362" s="7" t="b">
        <v>1</v>
      </c>
      <c r="AB362" s="7">
        <v>0</v>
      </c>
      <c r="AC362" s="10" t="s">
        <v>648</v>
      </c>
      <c r="AD362" s="7"/>
      <c r="AE362" s="7" t="s">
        <v>147</v>
      </c>
      <c r="AF362" s="10" t="s">
        <v>649</v>
      </c>
      <c r="AG362" s="14" t="s">
        <v>1263</v>
      </c>
      <c r="AH362" s="10"/>
      <c r="AJ362" s="32"/>
    </row>
    <row r="363" spans="1:36" s="12" customFormat="1" ht="14" customHeight="1" x14ac:dyDescent="0.2">
      <c r="A363" s="14" t="s">
        <v>652</v>
      </c>
      <c r="B363" s="9">
        <v>180.1</v>
      </c>
      <c r="C363" s="9">
        <v>182.8</v>
      </c>
      <c r="D363" s="13">
        <v>181.45</v>
      </c>
      <c r="E363" s="28">
        <v>-30.76</v>
      </c>
      <c r="F363" s="28">
        <v>28.04</v>
      </c>
      <c r="G363" s="34">
        <v>15</v>
      </c>
      <c r="H363" s="9">
        <v>344.3</v>
      </c>
      <c r="I363" s="9">
        <v>-55.6</v>
      </c>
      <c r="J363" s="9">
        <v>47.6</v>
      </c>
      <c r="K363" s="9">
        <v>5.6</v>
      </c>
      <c r="L363" s="13">
        <v>-76</v>
      </c>
      <c r="M363" s="13">
        <v>88.8</v>
      </c>
      <c r="N363" s="9">
        <v>30.8</v>
      </c>
      <c r="O363" s="9">
        <v>7</v>
      </c>
      <c r="P363" s="9" t="s">
        <v>1203</v>
      </c>
      <c r="Q363" s="9" t="s">
        <v>1203</v>
      </c>
      <c r="R363" s="7">
        <v>701</v>
      </c>
      <c r="S363" s="13">
        <v>-76</v>
      </c>
      <c r="T363" s="13">
        <v>88.8</v>
      </c>
      <c r="U363" s="9">
        <v>0</v>
      </c>
      <c r="V363" s="9">
        <v>0</v>
      </c>
      <c r="W363" s="9">
        <v>0</v>
      </c>
      <c r="X363" s="7" t="s">
        <v>1202</v>
      </c>
      <c r="Y363" s="7"/>
      <c r="Z363" s="7"/>
      <c r="AA363" s="7" t="b">
        <v>1</v>
      </c>
      <c r="AB363" s="7">
        <v>0</v>
      </c>
      <c r="AC363" s="14" t="s">
        <v>653</v>
      </c>
      <c r="AD363" s="7"/>
      <c r="AE363" s="7" t="s">
        <v>1369</v>
      </c>
      <c r="AF363" s="10" t="s">
        <v>654</v>
      </c>
      <c r="AG363" s="14" t="s">
        <v>1233</v>
      </c>
      <c r="AH363" s="10"/>
      <c r="AJ363" s="32"/>
    </row>
    <row r="364" spans="1:36" s="12" customFormat="1" ht="14" customHeight="1" x14ac:dyDescent="0.2">
      <c r="A364" s="14" t="s">
        <v>655</v>
      </c>
      <c r="B364" s="9">
        <v>180.1</v>
      </c>
      <c r="C364" s="9">
        <v>182.8</v>
      </c>
      <c r="D364" s="13">
        <v>181.45</v>
      </c>
      <c r="E364" s="9">
        <v>-28.8</v>
      </c>
      <c r="F364" s="9">
        <v>28.7</v>
      </c>
      <c r="G364" s="34">
        <v>29</v>
      </c>
      <c r="H364" s="9">
        <v>332.2</v>
      </c>
      <c r="I364" s="9">
        <v>-56.7</v>
      </c>
      <c r="J364" s="9">
        <v>36.299999999999997</v>
      </c>
      <c r="K364" s="9">
        <v>4.5</v>
      </c>
      <c r="L364" s="13">
        <v>-65.3</v>
      </c>
      <c r="M364" s="6">
        <v>87.9</v>
      </c>
      <c r="N364" s="7">
        <v>27.9</v>
      </c>
      <c r="O364" s="7">
        <v>5.2</v>
      </c>
      <c r="P364" s="9" t="s">
        <v>1203</v>
      </c>
      <c r="Q364" s="9" t="s">
        <v>1203</v>
      </c>
      <c r="R364" s="7">
        <v>701</v>
      </c>
      <c r="S364" s="13">
        <v>-65.3</v>
      </c>
      <c r="T364" s="13">
        <v>87.9</v>
      </c>
      <c r="U364" s="9">
        <v>0</v>
      </c>
      <c r="V364" s="9">
        <v>0</v>
      </c>
      <c r="W364" s="9">
        <v>0</v>
      </c>
      <c r="X364" s="7" t="s">
        <v>1202</v>
      </c>
      <c r="Y364" s="7"/>
      <c r="Z364" s="7"/>
      <c r="AA364" s="7" t="b">
        <v>1</v>
      </c>
      <c r="AB364" s="7">
        <v>0</v>
      </c>
      <c r="AC364" s="14" t="s">
        <v>656</v>
      </c>
      <c r="AD364" s="7"/>
      <c r="AE364" s="7" t="s">
        <v>1369</v>
      </c>
      <c r="AF364" s="10" t="s">
        <v>654</v>
      </c>
      <c r="AG364" s="14"/>
      <c r="AH364" s="10"/>
      <c r="AJ364" s="32"/>
    </row>
    <row r="365" spans="1:36" s="12" customFormat="1" ht="14" customHeight="1" x14ac:dyDescent="0.2">
      <c r="A365" s="10" t="s">
        <v>670</v>
      </c>
      <c r="B365" s="9">
        <v>179</v>
      </c>
      <c r="C365" s="9">
        <v>187</v>
      </c>
      <c r="D365" s="13">
        <v>183</v>
      </c>
      <c r="E365" s="9">
        <v>-24</v>
      </c>
      <c r="F365" s="9">
        <v>31</v>
      </c>
      <c r="G365" s="6">
        <v>10</v>
      </c>
      <c r="H365" s="9">
        <v>338</v>
      </c>
      <c r="I365" s="9">
        <v>-59</v>
      </c>
      <c r="J365" s="9">
        <v>26.8</v>
      </c>
      <c r="K365" s="9">
        <v>9.5</v>
      </c>
      <c r="L365" s="13">
        <v>-65.400000000000006</v>
      </c>
      <c r="M365" s="13">
        <v>75.099999999999994</v>
      </c>
      <c r="N365" s="9">
        <v>16.399999999999999</v>
      </c>
      <c r="O365" s="9">
        <v>12.3</v>
      </c>
      <c r="P365" s="9" t="s">
        <v>1203</v>
      </c>
      <c r="Q365" s="9" t="s">
        <v>1203</v>
      </c>
      <c r="R365" s="7">
        <v>701</v>
      </c>
      <c r="S365" s="13">
        <v>-65.400000000000006</v>
      </c>
      <c r="T365" s="13">
        <v>75.099999999999994</v>
      </c>
      <c r="U365" s="9">
        <v>0</v>
      </c>
      <c r="V365" s="9">
        <v>0</v>
      </c>
      <c r="W365" s="9">
        <v>0</v>
      </c>
      <c r="X365" s="7" t="s">
        <v>1202</v>
      </c>
      <c r="Y365" s="10"/>
      <c r="Z365" s="10"/>
      <c r="AA365" s="7" t="b">
        <v>1</v>
      </c>
      <c r="AB365" s="7">
        <v>0</v>
      </c>
      <c r="AC365" s="14" t="s">
        <v>671</v>
      </c>
      <c r="AD365" s="7">
        <v>317</v>
      </c>
      <c r="AE365" s="7" t="s">
        <v>147</v>
      </c>
      <c r="AF365" s="10" t="s">
        <v>663</v>
      </c>
      <c r="AG365" s="14" t="s">
        <v>1265</v>
      </c>
      <c r="AH365" s="10"/>
      <c r="AJ365" s="32"/>
    </row>
    <row r="366" spans="1:36" s="12" customFormat="1" ht="14" customHeight="1" x14ac:dyDescent="0.2">
      <c r="A366" s="10" t="s">
        <v>668</v>
      </c>
      <c r="B366" s="9">
        <v>179</v>
      </c>
      <c r="C366" s="9">
        <v>187</v>
      </c>
      <c r="D366" s="13">
        <v>183</v>
      </c>
      <c r="E366" s="9">
        <v>-18</v>
      </c>
      <c r="F366" s="9">
        <v>30</v>
      </c>
      <c r="G366" s="6">
        <v>9</v>
      </c>
      <c r="H366" s="9">
        <v>328</v>
      </c>
      <c r="I366" s="9">
        <v>-54</v>
      </c>
      <c r="J366" s="9">
        <v>55.1</v>
      </c>
      <c r="K366" s="9">
        <v>7</v>
      </c>
      <c r="L366" s="13">
        <v>-57</v>
      </c>
      <c r="M366" s="13">
        <v>84</v>
      </c>
      <c r="N366" s="9">
        <v>42.4</v>
      </c>
      <c r="O366" s="9">
        <v>8</v>
      </c>
      <c r="P366" s="9" t="s">
        <v>1203</v>
      </c>
      <c r="Q366" s="9" t="s">
        <v>1203</v>
      </c>
      <c r="R366" s="7">
        <v>701</v>
      </c>
      <c r="S366" s="13">
        <v>-57</v>
      </c>
      <c r="T366" s="13">
        <v>84</v>
      </c>
      <c r="U366" s="9">
        <v>0</v>
      </c>
      <c r="V366" s="9">
        <v>0</v>
      </c>
      <c r="W366" s="9">
        <v>0</v>
      </c>
      <c r="X366" s="7" t="s">
        <v>1202</v>
      </c>
      <c r="Y366" s="10"/>
      <c r="Z366" s="10"/>
      <c r="AA366" s="7" t="b">
        <v>1</v>
      </c>
      <c r="AB366" s="7">
        <v>0</v>
      </c>
      <c r="AC366" s="14" t="s">
        <v>669</v>
      </c>
      <c r="AD366" s="7">
        <v>635</v>
      </c>
      <c r="AE366" s="7" t="s">
        <v>147</v>
      </c>
      <c r="AF366" s="10" t="s">
        <v>663</v>
      </c>
      <c r="AG366" s="40" t="s">
        <v>1264</v>
      </c>
      <c r="AH366" s="10"/>
      <c r="AJ366" s="32"/>
    </row>
    <row r="367" spans="1:36" s="12" customFormat="1" ht="14" customHeight="1" x14ac:dyDescent="0.2">
      <c r="A367" s="10" t="s">
        <v>664</v>
      </c>
      <c r="B367" s="9">
        <v>179</v>
      </c>
      <c r="C367" s="9">
        <v>187</v>
      </c>
      <c r="D367" s="13">
        <v>183</v>
      </c>
      <c r="E367" s="9">
        <v>-29.3</v>
      </c>
      <c r="F367" s="9">
        <v>28.6</v>
      </c>
      <c r="G367" s="6">
        <v>47</v>
      </c>
      <c r="H367" s="7">
        <v>338.7</v>
      </c>
      <c r="I367" s="9">
        <v>-53.7</v>
      </c>
      <c r="J367" s="9">
        <v>42.1</v>
      </c>
      <c r="K367" s="9">
        <v>3.2</v>
      </c>
      <c r="L367" s="13">
        <v>-71.599999999999994</v>
      </c>
      <c r="M367" s="6">
        <v>93.5</v>
      </c>
      <c r="N367" s="7">
        <v>32.6</v>
      </c>
      <c r="O367" s="7">
        <v>3.7</v>
      </c>
      <c r="P367" s="9" t="s">
        <v>1203</v>
      </c>
      <c r="Q367" s="9" t="s">
        <v>1203</v>
      </c>
      <c r="R367" s="7">
        <v>701</v>
      </c>
      <c r="S367" s="13">
        <v>-71.599999999999994</v>
      </c>
      <c r="T367" s="13">
        <v>93.5</v>
      </c>
      <c r="U367" s="9">
        <v>0</v>
      </c>
      <c r="V367" s="9">
        <v>0</v>
      </c>
      <c r="W367" s="9">
        <v>0</v>
      </c>
      <c r="X367" s="7" t="s">
        <v>1202</v>
      </c>
      <c r="Y367" s="10"/>
      <c r="Z367" s="10"/>
      <c r="AA367" s="7" t="b">
        <v>1</v>
      </c>
      <c r="AB367" s="7">
        <v>0</v>
      </c>
      <c r="AC367" s="40" t="s">
        <v>665</v>
      </c>
      <c r="AD367" s="7">
        <v>3090</v>
      </c>
      <c r="AE367" s="7" t="s">
        <v>147</v>
      </c>
      <c r="AF367" s="10" t="s">
        <v>663</v>
      </c>
      <c r="AG367" s="14" t="s">
        <v>1266</v>
      </c>
      <c r="AH367" s="10"/>
      <c r="AJ367" s="32"/>
    </row>
    <row r="368" spans="1:36" s="17" customFormat="1" ht="14" customHeight="1" x14ac:dyDescent="0.2">
      <c r="A368" s="14" t="s">
        <v>686</v>
      </c>
      <c r="B368" s="9">
        <v>179</v>
      </c>
      <c r="C368" s="9">
        <v>187</v>
      </c>
      <c r="D368" s="13">
        <v>183</v>
      </c>
      <c r="E368" s="9">
        <v>-29.4</v>
      </c>
      <c r="F368" s="9">
        <v>27.8</v>
      </c>
      <c r="G368" s="34">
        <v>15</v>
      </c>
      <c r="H368" s="9">
        <v>329.3</v>
      </c>
      <c r="I368" s="9">
        <v>-57.5</v>
      </c>
      <c r="J368" s="9">
        <v>26.9</v>
      </c>
      <c r="K368" s="9">
        <v>7.5</v>
      </c>
      <c r="L368" s="13">
        <v>-63.7</v>
      </c>
      <c r="M368" s="13">
        <v>88.5</v>
      </c>
      <c r="N368" s="9">
        <v>15.2</v>
      </c>
      <c r="O368" s="9">
        <v>10.1</v>
      </c>
      <c r="P368" s="9" t="s">
        <v>1203</v>
      </c>
      <c r="Q368" s="9" t="s">
        <v>1203</v>
      </c>
      <c r="R368" s="7">
        <v>701</v>
      </c>
      <c r="S368" s="13">
        <v>-63.7</v>
      </c>
      <c r="T368" s="13">
        <v>88.5</v>
      </c>
      <c r="U368" s="9">
        <v>0</v>
      </c>
      <c r="V368" s="9">
        <v>0</v>
      </c>
      <c r="W368" s="9">
        <v>0</v>
      </c>
      <c r="X368" s="7" t="s">
        <v>1202</v>
      </c>
      <c r="Y368" s="7"/>
      <c r="Z368" s="7"/>
      <c r="AA368" s="7" t="b">
        <v>1</v>
      </c>
      <c r="AB368" s="7">
        <v>0</v>
      </c>
      <c r="AC368" s="14" t="s">
        <v>687</v>
      </c>
      <c r="AD368" s="7"/>
      <c r="AE368" s="7" t="s">
        <v>1369</v>
      </c>
      <c r="AF368" s="10" t="s">
        <v>663</v>
      </c>
      <c r="AG368" s="14" t="s">
        <v>1234</v>
      </c>
      <c r="AH368" s="10"/>
      <c r="AJ368" s="32"/>
    </row>
    <row r="369" spans="1:172" s="12" customFormat="1" ht="14" customHeight="1" x14ac:dyDescent="0.2">
      <c r="A369" s="56" t="s">
        <v>662</v>
      </c>
      <c r="B369" s="54">
        <v>179</v>
      </c>
      <c r="C369" s="54">
        <v>187</v>
      </c>
      <c r="D369" s="55">
        <v>183</v>
      </c>
      <c r="E369" s="54">
        <v>-24</v>
      </c>
      <c r="F369" s="54">
        <v>18</v>
      </c>
      <c r="G369" s="58">
        <v>3</v>
      </c>
      <c r="H369" s="54">
        <v>331</v>
      </c>
      <c r="I369" s="54">
        <v>-57.5</v>
      </c>
      <c r="J369" s="54">
        <v>62.2</v>
      </c>
      <c r="K369" s="54">
        <v>15.8</v>
      </c>
      <c r="L369" s="55">
        <v>-61.9</v>
      </c>
      <c r="M369" s="55">
        <v>71.900000000000006</v>
      </c>
      <c r="N369" s="54"/>
      <c r="O369" s="54"/>
      <c r="P369" s="54">
        <v>41.583029261217611</v>
      </c>
      <c r="Q369" s="54">
        <v>19.364704171399676</v>
      </c>
      <c r="R369" s="52">
        <v>701</v>
      </c>
      <c r="S369" s="55">
        <v>-61.9</v>
      </c>
      <c r="T369" s="55">
        <v>71.900000000000006</v>
      </c>
      <c r="U369" s="54">
        <v>0</v>
      </c>
      <c r="V369" s="54">
        <v>0</v>
      </c>
      <c r="W369" s="54">
        <v>0</v>
      </c>
      <c r="X369" s="52" t="s">
        <v>1202</v>
      </c>
      <c r="Y369" s="56"/>
      <c r="Z369" s="56"/>
      <c r="AA369" s="52" t="b">
        <v>1</v>
      </c>
      <c r="AB369" s="52" t="s">
        <v>31</v>
      </c>
      <c r="AC369" s="49" t="s">
        <v>548</v>
      </c>
      <c r="AD369" s="52">
        <v>126</v>
      </c>
      <c r="AE369" s="52" t="s">
        <v>147</v>
      </c>
      <c r="AF369" s="56" t="s">
        <v>663</v>
      </c>
      <c r="AG369" s="49"/>
      <c r="AH369" s="56"/>
      <c r="AJ369" s="32"/>
    </row>
    <row r="370" spans="1:172" s="12" customFormat="1" ht="14" customHeight="1" x14ac:dyDescent="0.2">
      <c r="A370" s="56" t="s">
        <v>666</v>
      </c>
      <c r="B370" s="54">
        <v>179</v>
      </c>
      <c r="C370" s="54">
        <v>187</v>
      </c>
      <c r="D370" s="55">
        <v>183</v>
      </c>
      <c r="E370" s="54">
        <v>-29.5</v>
      </c>
      <c r="F370" s="54">
        <v>28.5</v>
      </c>
      <c r="G370" s="58">
        <v>4</v>
      </c>
      <c r="H370" s="52">
        <v>337.9</v>
      </c>
      <c r="I370" s="54">
        <v>-56.4</v>
      </c>
      <c r="J370" s="54">
        <v>70.2</v>
      </c>
      <c r="K370" s="54">
        <v>11</v>
      </c>
      <c r="L370" s="55">
        <v>-70.5</v>
      </c>
      <c r="M370" s="58">
        <v>88.7</v>
      </c>
      <c r="N370" s="52">
        <v>40.6</v>
      </c>
      <c r="O370" s="52">
        <v>14.6</v>
      </c>
      <c r="P370" s="54" t="s">
        <v>1203</v>
      </c>
      <c r="Q370" s="54" t="s">
        <v>1203</v>
      </c>
      <c r="R370" s="52">
        <v>701</v>
      </c>
      <c r="S370" s="55">
        <v>-70.5</v>
      </c>
      <c r="T370" s="55">
        <v>88.7</v>
      </c>
      <c r="U370" s="54">
        <v>0</v>
      </c>
      <c r="V370" s="54">
        <v>0</v>
      </c>
      <c r="W370" s="54">
        <v>0</v>
      </c>
      <c r="X370" s="52" t="s">
        <v>1202</v>
      </c>
      <c r="Y370" s="56"/>
      <c r="Z370" s="56"/>
      <c r="AA370" s="52" t="b">
        <v>1</v>
      </c>
      <c r="AB370" s="52" t="s">
        <v>31</v>
      </c>
      <c r="AC370" s="49" t="s">
        <v>667</v>
      </c>
      <c r="AD370" s="52">
        <v>984</v>
      </c>
      <c r="AE370" s="52" t="s">
        <v>147</v>
      </c>
      <c r="AF370" s="56" t="s">
        <v>663</v>
      </c>
      <c r="AG370" s="49" t="s">
        <v>1443</v>
      </c>
      <c r="AH370" s="56"/>
      <c r="AJ370" s="32"/>
    </row>
    <row r="371" spans="1:172" s="12" customFormat="1" ht="14" customHeight="1" x14ac:dyDescent="0.2">
      <c r="A371" s="10" t="s">
        <v>693</v>
      </c>
      <c r="B371" s="9">
        <v>183</v>
      </c>
      <c r="C371" s="9">
        <v>189</v>
      </c>
      <c r="D371" s="13">
        <v>186</v>
      </c>
      <c r="E371" s="9">
        <v>-22.1</v>
      </c>
      <c r="F371" s="9">
        <v>30.7</v>
      </c>
      <c r="G371" s="6">
        <v>8</v>
      </c>
      <c r="H371" s="9">
        <v>339.3</v>
      </c>
      <c r="I371" s="9">
        <v>-43.6</v>
      </c>
      <c r="J371" s="9">
        <v>41.3</v>
      </c>
      <c r="K371" s="9">
        <v>8.6999999999999993</v>
      </c>
      <c r="L371" s="13">
        <v>-70.7</v>
      </c>
      <c r="M371" s="13">
        <v>106.7</v>
      </c>
      <c r="N371" s="9"/>
      <c r="O371" s="9"/>
      <c r="P371" s="9">
        <v>47.469275795171676</v>
      </c>
      <c r="Q371" s="9">
        <v>8.121971995442026</v>
      </c>
      <c r="R371" s="7">
        <v>701</v>
      </c>
      <c r="S371" s="13">
        <v>-70.7</v>
      </c>
      <c r="T371" s="13">
        <v>106.7</v>
      </c>
      <c r="U371" s="9">
        <v>0</v>
      </c>
      <c r="V371" s="9">
        <v>0</v>
      </c>
      <c r="W371" s="9">
        <v>0</v>
      </c>
      <c r="X371" s="7" t="s">
        <v>1202</v>
      </c>
      <c r="Y371" s="10"/>
      <c r="Z371" s="10"/>
      <c r="AA371" s="7" t="b">
        <v>1</v>
      </c>
      <c r="AB371" s="7">
        <v>0</v>
      </c>
      <c r="AC371" s="14" t="s">
        <v>694</v>
      </c>
      <c r="AD371" s="7">
        <v>470</v>
      </c>
      <c r="AE371" s="7" t="s">
        <v>147</v>
      </c>
      <c r="AF371" s="10" t="s">
        <v>1445</v>
      </c>
      <c r="AG371" s="14"/>
      <c r="AH371" s="10"/>
      <c r="AJ371" s="32"/>
    </row>
    <row r="372" spans="1:172" s="12" customFormat="1" ht="14" customHeight="1" x14ac:dyDescent="0.2">
      <c r="A372" s="56" t="s">
        <v>776</v>
      </c>
      <c r="B372" s="54">
        <v>201.4</v>
      </c>
      <c r="C372" s="54">
        <v>237</v>
      </c>
      <c r="D372" s="58">
        <f>(B372+C372)/2</f>
        <v>219.2</v>
      </c>
      <c r="E372" s="52">
        <v>-16.2</v>
      </c>
      <c r="F372" s="52">
        <v>28.8</v>
      </c>
      <c r="G372" s="58">
        <v>6</v>
      </c>
      <c r="H372" s="54">
        <v>350.3</v>
      </c>
      <c r="I372" s="54">
        <v>-55.6</v>
      </c>
      <c r="J372" s="54">
        <v>208</v>
      </c>
      <c r="K372" s="54">
        <v>4.5999999999999996</v>
      </c>
      <c r="L372" s="55">
        <v>-68</v>
      </c>
      <c r="M372" s="58">
        <v>50.5</v>
      </c>
      <c r="N372" s="54"/>
      <c r="O372" s="54"/>
      <c r="P372" s="54">
        <v>150.53003188748332</v>
      </c>
      <c r="Q372" s="54">
        <v>5.4785122479541055</v>
      </c>
      <c r="R372" s="52">
        <v>701</v>
      </c>
      <c r="S372" s="55">
        <v>-68</v>
      </c>
      <c r="T372" s="55">
        <v>50.5</v>
      </c>
      <c r="U372" s="54">
        <v>0</v>
      </c>
      <c r="V372" s="54">
        <v>0</v>
      </c>
      <c r="W372" s="54">
        <v>0</v>
      </c>
      <c r="X372" s="52" t="s">
        <v>1204</v>
      </c>
      <c r="Y372" s="56"/>
      <c r="Z372" s="56"/>
      <c r="AA372" s="52" t="b">
        <v>0</v>
      </c>
      <c r="AB372" s="52" t="s">
        <v>31</v>
      </c>
      <c r="AC372" s="49" t="s">
        <v>777</v>
      </c>
      <c r="AD372" s="52">
        <v>323</v>
      </c>
      <c r="AE372" s="52" t="s">
        <v>147</v>
      </c>
      <c r="AF372" s="56" t="s">
        <v>1421</v>
      </c>
      <c r="AG372" s="49"/>
      <c r="AH372" s="56" t="s">
        <v>1366</v>
      </c>
      <c r="AJ372" s="32"/>
    </row>
    <row r="373" spans="1:172" s="12" customFormat="1" ht="14" customHeight="1" x14ac:dyDescent="0.2">
      <c r="A373" s="56" t="s">
        <v>846</v>
      </c>
      <c r="B373" s="54">
        <v>249</v>
      </c>
      <c r="C373" s="54">
        <v>253</v>
      </c>
      <c r="D373" s="55">
        <v>251</v>
      </c>
      <c r="E373" s="54">
        <v>26.1</v>
      </c>
      <c r="F373" s="54">
        <v>-32.200000000000003</v>
      </c>
      <c r="G373" s="58">
        <v>35</v>
      </c>
      <c r="H373" s="52">
        <v>311.89999999999998</v>
      </c>
      <c r="I373" s="52">
        <v>-61.6</v>
      </c>
      <c r="J373" s="52">
        <v>17.8</v>
      </c>
      <c r="K373" s="52">
        <v>7.6</v>
      </c>
      <c r="L373" s="55">
        <v>-50.9</v>
      </c>
      <c r="M373" s="55">
        <v>86.3</v>
      </c>
      <c r="N373" s="54"/>
      <c r="O373" s="54"/>
      <c r="P373" s="54">
        <v>10.004797777442704</v>
      </c>
      <c r="Q373" s="54">
        <v>8.070974780595753</v>
      </c>
      <c r="R373" s="52">
        <v>701</v>
      </c>
      <c r="S373" s="55">
        <v>-50.899999999999899</v>
      </c>
      <c r="T373" s="55">
        <v>86.3</v>
      </c>
      <c r="U373" s="54">
        <v>0</v>
      </c>
      <c r="V373" s="54">
        <v>0</v>
      </c>
      <c r="W373" s="54">
        <v>0</v>
      </c>
      <c r="X373" s="52" t="s">
        <v>1204</v>
      </c>
      <c r="Y373" s="56"/>
      <c r="Z373" s="56"/>
      <c r="AA373" s="52" t="b">
        <v>1</v>
      </c>
      <c r="AB373" s="52" t="s">
        <v>165</v>
      </c>
      <c r="AC373" s="56" t="s">
        <v>847</v>
      </c>
      <c r="AD373" s="52"/>
      <c r="AE373" s="52" t="s">
        <v>147</v>
      </c>
      <c r="AF373" s="56" t="s">
        <v>1396</v>
      </c>
      <c r="AG373" s="49"/>
      <c r="AH373" s="56"/>
      <c r="AJ373" s="32"/>
    </row>
    <row r="374" spans="1:172" s="12" customFormat="1" ht="14" customHeight="1" x14ac:dyDescent="0.2">
      <c r="A374" s="56" t="s">
        <v>863</v>
      </c>
      <c r="B374" s="54">
        <v>246.7</v>
      </c>
      <c r="C374" s="54">
        <v>259.5</v>
      </c>
      <c r="D374" s="55">
        <f>(B374+C374)/2</f>
        <v>253.1</v>
      </c>
      <c r="E374" s="54">
        <v>-10</v>
      </c>
      <c r="F374" s="52">
        <v>17.5</v>
      </c>
      <c r="G374" s="58">
        <v>25</v>
      </c>
      <c r="H374" s="54">
        <v>325</v>
      </c>
      <c r="I374" s="54">
        <v>-41</v>
      </c>
      <c r="J374" s="54">
        <v>21</v>
      </c>
      <c r="K374" s="54">
        <v>6</v>
      </c>
      <c r="L374" s="55">
        <v>-54</v>
      </c>
      <c r="M374" s="55">
        <v>80</v>
      </c>
      <c r="N374" s="54"/>
      <c r="O374" s="54"/>
      <c r="P374" s="54">
        <v>26.371113564363714</v>
      </c>
      <c r="Q374" s="54">
        <v>5.7449012028958544</v>
      </c>
      <c r="R374" s="52">
        <v>701</v>
      </c>
      <c r="S374" s="55">
        <v>-53.999999999999901</v>
      </c>
      <c r="T374" s="55">
        <v>80</v>
      </c>
      <c r="U374" s="54">
        <v>0</v>
      </c>
      <c r="V374" s="54">
        <v>0</v>
      </c>
      <c r="W374" s="54">
        <v>0</v>
      </c>
      <c r="X374" s="52" t="s">
        <v>1204</v>
      </c>
      <c r="Y374" s="56"/>
      <c r="Z374" s="56"/>
      <c r="AA374" s="52" t="b">
        <v>1</v>
      </c>
      <c r="AB374" s="52" t="s">
        <v>165</v>
      </c>
      <c r="AC374" s="49" t="s">
        <v>864</v>
      </c>
      <c r="AD374" s="52">
        <v>1960</v>
      </c>
      <c r="AE374" s="52" t="s">
        <v>147</v>
      </c>
      <c r="AF374" s="56" t="s">
        <v>1398</v>
      </c>
      <c r="AG374" s="49"/>
      <c r="AH374" s="56"/>
      <c r="AJ374" s="32"/>
    </row>
    <row r="375" spans="1:172" s="12" customFormat="1" ht="14" customHeight="1" x14ac:dyDescent="0.2">
      <c r="A375" s="56" t="s">
        <v>924</v>
      </c>
      <c r="B375" s="54">
        <v>264</v>
      </c>
      <c r="C375" s="54">
        <v>269</v>
      </c>
      <c r="D375" s="55">
        <v>266.5</v>
      </c>
      <c r="E375" s="54">
        <v>-32.4</v>
      </c>
      <c r="F375" s="54">
        <v>20.3</v>
      </c>
      <c r="G375" s="58">
        <v>135</v>
      </c>
      <c r="H375" s="54">
        <v>308.39999999999998</v>
      </c>
      <c r="I375" s="54">
        <v>-62.2</v>
      </c>
      <c r="J375" s="54">
        <v>9.6999999999999993</v>
      </c>
      <c r="K375" s="54">
        <v>4.0999999999999996</v>
      </c>
      <c r="L375" s="55">
        <v>-48.2</v>
      </c>
      <c r="M375" s="58">
        <v>80.400000000000006</v>
      </c>
      <c r="N375" s="52">
        <v>7.1</v>
      </c>
      <c r="O375" s="52">
        <v>4.9000000000000004</v>
      </c>
      <c r="P375" s="54" t="s">
        <v>1203</v>
      </c>
      <c r="Q375" s="54" t="s">
        <v>1203</v>
      </c>
      <c r="R375" s="52">
        <v>701</v>
      </c>
      <c r="S375" s="58">
        <v>-48.199999999999903</v>
      </c>
      <c r="T375" s="58">
        <v>80.400000000000006</v>
      </c>
      <c r="U375" s="52">
        <v>0</v>
      </c>
      <c r="V375" s="52">
        <v>0</v>
      </c>
      <c r="W375" s="52">
        <v>0</v>
      </c>
      <c r="X375" s="52" t="s">
        <v>1204</v>
      </c>
      <c r="Y375" s="52">
        <v>0.7</v>
      </c>
      <c r="Z375" s="52">
        <v>4.25</v>
      </c>
      <c r="AA375" s="52" t="s">
        <v>211</v>
      </c>
      <c r="AB375" s="52" t="s">
        <v>211</v>
      </c>
      <c r="AC375" s="56" t="s">
        <v>925</v>
      </c>
      <c r="AD375" s="52"/>
      <c r="AE375" s="52" t="s">
        <v>1369</v>
      </c>
      <c r="AF375" s="56" t="s">
        <v>926</v>
      </c>
      <c r="AG375" s="49" t="s">
        <v>744</v>
      </c>
      <c r="AH375" s="56"/>
      <c r="AJ375" s="32"/>
    </row>
    <row r="376" spans="1:172" s="69" customFormat="1" ht="14" customHeight="1" x14ac:dyDescent="0.2">
      <c r="A376" s="49" t="s">
        <v>946</v>
      </c>
      <c r="B376" s="54">
        <v>263</v>
      </c>
      <c r="C376" s="54">
        <v>281</v>
      </c>
      <c r="D376" s="55">
        <v>272</v>
      </c>
      <c r="E376" s="54">
        <v>-32.25</v>
      </c>
      <c r="F376" s="54">
        <v>35.6</v>
      </c>
      <c r="G376" s="53">
        <v>111</v>
      </c>
      <c r="H376" s="54">
        <v>324.39999999999998</v>
      </c>
      <c r="I376" s="54">
        <v>-70.5</v>
      </c>
      <c r="J376" s="54">
        <v>7.5</v>
      </c>
      <c r="K376" s="54">
        <v>5.25</v>
      </c>
      <c r="L376" s="55">
        <v>-49.5</v>
      </c>
      <c r="M376" s="55">
        <v>49.1</v>
      </c>
      <c r="N376" s="54"/>
      <c r="O376" s="54"/>
      <c r="P376" s="54">
        <v>2.919925311616165</v>
      </c>
      <c r="Q376" s="54">
        <v>9.6615583761203876</v>
      </c>
      <c r="R376" s="52">
        <v>701</v>
      </c>
      <c r="S376" s="55">
        <v>-49.5</v>
      </c>
      <c r="T376" s="55">
        <v>49.099999999999902</v>
      </c>
      <c r="U376" s="54">
        <v>0</v>
      </c>
      <c r="V376" s="54">
        <v>0</v>
      </c>
      <c r="W376" s="54">
        <v>0</v>
      </c>
      <c r="X376" s="52" t="s">
        <v>1204</v>
      </c>
      <c r="Y376" s="52">
        <v>0.62</v>
      </c>
      <c r="Z376" s="52">
        <v>7.24</v>
      </c>
      <c r="AA376" s="52" t="s">
        <v>211</v>
      </c>
      <c r="AB376" s="52" t="s">
        <v>211</v>
      </c>
      <c r="AC376" s="49" t="s">
        <v>947</v>
      </c>
      <c r="AD376" s="52"/>
      <c r="AE376" s="52" t="s">
        <v>1369</v>
      </c>
      <c r="AF376" s="56" t="s">
        <v>1223</v>
      </c>
      <c r="AG376" s="49" t="s">
        <v>948</v>
      </c>
      <c r="AH376" s="56" t="s">
        <v>1406</v>
      </c>
      <c r="AI376" s="12"/>
      <c r="AJ376" s="3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c r="FO376" s="12"/>
      <c r="FP376" s="12"/>
    </row>
    <row r="377" spans="1:172" s="69" customFormat="1" ht="14" customHeight="1" x14ac:dyDescent="0.2">
      <c r="A377" s="56" t="s">
        <v>1081</v>
      </c>
      <c r="B377" s="54">
        <v>283.3</v>
      </c>
      <c r="C377" s="54">
        <v>298.89999999999998</v>
      </c>
      <c r="D377" s="55">
        <f>(B377+C377)/2</f>
        <v>291.10000000000002</v>
      </c>
      <c r="E377" s="54">
        <v>-13.5</v>
      </c>
      <c r="F377" s="54">
        <v>30</v>
      </c>
      <c r="G377" s="53">
        <v>5</v>
      </c>
      <c r="H377" s="54">
        <v>195</v>
      </c>
      <c r="I377" s="54">
        <v>83</v>
      </c>
      <c r="J377" s="54">
        <v>189.2</v>
      </c>
      <c r="K377" s="54">
        <v>5.6</v>
      </c>
      <c r="L377" s="55">
        <v>-26.5</v>
      </c>
      <c r="M377" s="55">
        <v>26.5</v>
      </c>
      <c r="N377" s="52">
        <v>54.1</v>
      </c>
      <c r="O377" s="52">
        <v>10.5</v>
      </c>
      <c r="P377" s="54" t="s">
        <v>1203</v>
      </c>
      <c r="Q377" s="54" t="s">
        <v>1203</v>
      </c>
      <c r="R377" s="52">
        <v>701</v>
      </c>
      <c r="S377" s="55">
        <v>-26.5</v>
      </c>
      <c r="T377" s="55">
        <v>26.5</v>
      </c>
      <c r="U377" s="54">
        <v>0</v>
      </c>
      <c r="V377" s="54">
        <v>0</v>
      </c>
      <c r="W377" s="54">
        <v>0</v>
      </c>
      <c r="X377" s="52" t="s">
        <v>1204</v>
      </c>
      <c r="Y377" s="56"/>
      <c r="Z377" s="56"/>
      <c r="AA377" s="52" t="b">
        <v>1</v>
      </c>
      <c r="AB377" s="52" t="s">
        <v>165</v>
      </c>
      <c r="AC377" s="49" t="s">
        <v>1082</v>
      </c>
      <c r="AD377" s="52">
        <v>435</v>
      </c>
      <c r="AE377" s="52" t="s">
        <v>147</v>
      </c>
      <c r="AF377" s="56" t="s">
        <v>1083</v>
      </c>
      <c r="AG377" s="49"/>
      <c r="AH377" s="56"/>
      <c r="AI377" s="12"/>
      <c r="AJ377" s="3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c r="FO377" s="12"/>
      <c r="FP377" s="12"/>
    </row>
    <row r="378" spans="1:172" s="69" customFormat="1" ht="14" customHeight="1" x14ac:dyDescent="0.15">
      <c r="A378" s="56" t="s">
        <v>1186</v>
      </c>
      <c r="B378" s="54">
        <v>290</v>
      </c>
      <c r="C378" s="54">
        <v>340</v>
      </c>
      <c r="D378" s="55">
        <v>315</v>
      </c>
      <c r="E378" s="54">
        <v>-22.5</v>
      </c>
      <c r="F378" s="54">
        <v>28.9</v>
      </c>
      <c r="G378" s="58">
        <v>22</v>
      </c>
      <c r="H378" s="54">
        <v>101.9</v>
      </c>
      <c r="I378" s="54">
        <v>70.8</v>
      </c>
      <c r="J378" s="54">
        <v>21.2</v>
      </c>
      <c r="K378" s="54">
        <v>6.9</v>
      </c>
      <c r="L378" s="55">
        <v>-25</v>
      </c>
      <c r="M378" s="55">
        <v>67</v>
      </c>
      <c r="N378" s="54">
        <v>7.7</v>
      </c>
      <c r="O378" s="54">
        <v>12</v>
      </c>
      <c r="P378" s="61" t="s">
        <v>1203</v>
      </c>
      <c r="Q378" s="61" t="s">
        <v>1203</v>
      </c>
      <c r="R378" s="52">
        <v>701</v>
      </c>
      <c r="S378" s="55">
        <v>-25</v>
      </c>
      <c r="T378" s="55">
        <v>67</v>
      </c>
      <c r="U378" s="54">
        <v>0</v>
      </c>
      <c r="V378" s="54">
        <v>0</v>
      </c>
      <c r="W378" s="54">
        <v>0</v>
      </c>
      <c r="X378" s="52" t="s">
        <v>1204</v>
      </c>
      <c r="Y378" s="56"/>
      <c r="Z378" s="56"/>
      <c r="AA378" s="52" t="b">
        <v>0</v>
      </c>
      <c r="AB378" s="52" t="s">
        <v>165</v>
      </c>
      <c r="AC378" s="49" t="s">
        <v>1187</v>
      </c>
      <c r="AD378" s="52">
        <v>3489</v>
      </c>
      <c r="AE378" s="52" t="s">
        <v>147</v>
      </c>
      <c r="AF378" s="56" t="s">
        <v>1417</v>
      </c>
      <c r="AG378" s="49"/>
      <c r="AH378" s="49" t="s">
        <v>1361</v>
      </c>
      <c r="AI378" s="12"/>
      <c r="AJ378" s="3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c r="FF378" s="12"/>
      <c r="FG378" s="12"/>
      <c r="FH378" s="12"/>
      <c r="FI378" s="12"/>
      <c r="FJ378" s="12"/>
      <c r="FK378" s="12"/>
      <c r="FL378" s="12"/>
      <c r="FM378" s="12"/>
      <c r="FN378" s="12"/>
      <c r="FO378" s="12"/>
      <c r="FP378" s="12"/>
    </row>
    <row r="379" spans="1:172" s="57" customFormat="1" ht="15" customHeight="1" x14ac:dyDescent="0.2">
      <c r="A379" s="56" t="s">
        <v>415</v>
      </c>
      <c r="B379" s="54">
        <v>83</v>
      </c>
      <c r="C379" s="54">
        <v>90</v>
      </c>
      <c r="D379" s="55">
        <v>86.5</v>
      </c>
      <c r="E379" s="54">
        <v>-18.399999999999999</v>
      </c>
      <c r="F379" s="54">
        <v>44.9</v>
      </c>
      <c r="G379" s="53">
        <v>7</v>
      </c>
      <c r="H379" s="54">
        <v>0.4</v>
      </c>
      <c r="I379" s="54">
        <v>-53.6</v>
      </c>
      <c r="J379" s="54">
        <v>185.9</v>
      </c>
      <c r="K379" s="54">
        <v>4.4000000000000004</v>
      </c>
      <c r="L379" s="55">
        <v>-74</v>
      </c>
      <c r="M379" s="55">
        <v>43.7</v>
      </c>
      <c r="N379" s="54">
        <v>130.1</v>
      </c>
      <c r="O379" s="54">
        <v>5.3</v>
      </c>
      <c r="P379" s="54" t="s">
        <v>1203</v>
      </c>
      <c r="Q379" s="54" t="s">
        <v>1203</v>
      </c>
      <c r="R379" s="52">
        <v>702</v>
      </c>
      <c r="S379" s="55">
        <v>-73.655356562635802</v>
      </c>
      <c r="T379" s="55">
        <v>44.737060343184801</v>
      </c>
      <c r="U379" s="54">
        <v>-44.389999999999901</v>
      </c>
      <c r="V379" s="54">
        <v>7.6799999999999899</v>
      </c>
      <c r="W379" s="54">
        <v>0.81</v>
      </c>
      <c r="X379" s="52" t="s">
        <v>1202</v>
      </c>
      <c r="Y379" s="56"/>
      <c r="Z379" s="56"/>
      <c r="AA379" s="56" t="b">
        <v>0</v>
      </c>
      <c r="AB379" s="52">
        <v>0</v>
      </c>
      <c r="AC379" s="49" t="s">
        <v>416</v>
      </c>
      <c r="AD379" s="52">
        <v>3482</v>
      </c>
      <c r="AE379" s="52" t="s">
        <v>147</v>
      </c>
      <c r="AF379" s="56" t="s">
        <v>417</v>
      </c>
      <c r="AG379" s="56"/>
      <c r="AH379" s="56"/>
      <c r="AI379"/>
      <c r="AJ379" s="32"/>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c r="EZ379"/>
      <c r="FA379"/>
      <c r="FB379"/>
      <c r="FC379"/>
      <c r="FD379"/>
      <c r="FE379"/>
      <c r="FF379"/>
      <c r="FG379"/>
      <c r="FH379"/>
      <c r="FI379"/>
      <c r="FJ379"/>
      <c r="FK379"/>
      <c r="FL379"/>
      <c r="FM379"/>
      <c r="FN379"/>
      <c r="FO379"/>
      <c r="FP379"/>
    </row>
    <row r="380" spans="1:172" s="69" customFormat="1" ht="14" customHeight="1" x14ac:dyDescent="0.2">
      <c r="A380" s="10" t="s">
        <v>418</v>
      </c>
      <c r="B380" s="9">
        <v>84</v>
      </c>
      <c r="C380" s="9">
        <v>90</v>
      </c>
      <c r="D380" s="13">
        <v>87</v>
      </c>
      <c r="E380" s="9">
        <v>-24.2</v>
      </c>
      <c r="F380" s="9">
        <v>46</v>
      </c>
      <c r="G380" s="34">
        <v>6</v>
      </c>
      <c r="H380" s="9">
        <v>348.8</v>
      </c>
      <c r="I380" s="9">
        <v>-66.2</v>
      </c>
      <c r="J380" s="9">
        <v>77.7</v>
      </c>
      <c r="K380" s="9">
        <v>7.6</v>
      </c>
      <c r="L380" s="13">
        <v>-64</v>
      </c>
      <c r="M380" s="13">
        <v>63</v>
      </c>
      <c r="N380" s="9"/>
      <c r="O380" s="9"/>
      <c r="P380" s="9">
        <v>35.978177493270472</v>
      </c>
      <c r="Q380" s="9">
        <v>11.320853423660262</v>
      </c>
      <c r="R380" s="7">
        <v>702</v>
      </c>
      <c r="S380" s="13">
        <v>-63.523713394564403</v>
      </c>
      <c r="T380" s="13">
        <v>63.100721190240399</v>
      </c>
      <c r="U380" s="9">
        <v>-44.389999999999901</v>
      </c>
      <c r="V380" s="9">
        <v>7.6799999999999899</v>
      </c>
      <c r="W380" s="9">
        <v>0.81</v>
      </c>
      <c r="X380" s="7" t="s">
        <v>1202</v>
      </c>
      <c r="Y380" s="10"/>
      <c r="Z380" s="10"/>
      <c r="AA380" s="10" t="b">
        <v>1</v>
      </c>
      <c r="AB380" s="7">
        <v>0</v>
      </c>
      <c r="AC380" s="14" t="s">
        <v>419</v>
      </c>
      <c r="AD380" s="7">
        <v>547</v>
      </c>
      <c r="AE380" s="7" t="s">
        <v>147</v>
      </c>
      <c r="AF380" s="14" t="s">
        <v>1292</v>
      </c>
      <c r="AG380" s="14"/>
      <c r="AH380" s="10"/>
      <c r="AI380" s="12"/>
      <c r="AJ380" s="3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c r="FF380" s="12"/>
      <c r="FG380" s="12"/>
      <c r="FH380" s="12"/>
      <c r="FI380" s="12"/>
      <c r="FJ380" s="12"/>
      <c r="FK380" s="12"/>
      <c r="FL380" s="12"/>
      <c r="FM380" s="12"/>
      <c r="FN380" s="12"/>
      <c r="FO380" s="12"/>
      <c r="FP380" s="12"/>
    </row>
    <row r="381" spans="1:172" s="70" customFormat="1" ht="14" customHeight="1" x14ac:dyDescent="0.2">
      <c r="A381" s="10" t="s">
        <v>426</v>
      </c>
      <c r="B381" s="9">
        <v>84</v>
      </c>
      <c r="C381" s="9">
        <v>90</v>
      </c>
      <c r="D381" s="13">
        <v>87</v>
      </c>
      <c r="E381" s="9">
        <v>-18</v>
      </c>
      <c r="F381" s="9">
        <v>44.4</v>
      </c>
      <c r="G381" s="34">
        <v>10</v>
      </c>
      <c r="H381" s="9">
        <v>352.2</v>
      </c>
      <c r="I381" s="9">
        <v>-55.8</v>
      </c>
      <c r="J381" s="9">
        <v>49.1</v>
      </c>
      <c r="K381" s="9">
        <v>6.9</v>
      </c>
      <c r="L381" s="13">
        <v>-70.3</v>
      </c>
      <c r="M381" s="13">
        <v>63.1</v>
      </c>
      <c r="N381" s="9"/>
      <c r="O381" s="9"/>
      <c r="P381" s="9">
        <v>35.240231951431333</v>
      </c>
      <c r="Q381" s="9">
        <v>8.2509526822158445</v>
      </c>
      <c r="R381" s="7">
        <v>702</v>
      </c>
      <c r="S381" s="13">
        <v>-69.822463184548198</v>
      </c>
      <c r="T381" s="13">
        <v>63.435131143064702</v>
      </c>
      <c r="U381" s="9">
        <v>-44.389999999999901</v>
      </c>
      <c r="V381" s="9">
        <v>7.6799999999999899</v>
      </c>
      <c r="W381" s="9">
        <v>0.81</v>
      </c>
      <c r="X381" s="7" t="s">
        <v>1202</v>
      </c>
      <c r="Y381" s="10"/>
      <c r="Z381" s="10"/>
      <c r="AA381" s="10" t="b">
        <v>1</v>
      </c>
      <c r="AB381" s="7">
        <v>0</v>
      </c>
      <c r="AC381" s="14" t="s">
        <v>421</v>
      </c>
      <c r="AD381" s="7">
        <v>708</v>
      </c>
      <c r="AE381" s="7" t="s">
        <v>147</v>
      </c>
      <c r="AF381" s="14" t="s">
        <v>1292</v>
      </c>
      <c r="AG381" s="10"/>
      <c r="AH381" s="10"/>
      <c r="AI381" s="17"/>
      <c r="AJ381" s="32"/>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7"/>
      <c r="EF381" s="17"/>
      <c r="EG381" s="17"/>
      <c r="EH381" s="17"/>
      <c r="EI381" s="17"/>
      <c r="EJ381" s="17"/>
      <c r="EK381" s="17"/>
      <c r="EL381" s="17"/>
      <c r="EM381" s="17"/>
      <c r="EN381" s="17"/>
      <c r="EO381" s="17"/>
      <c r="EP381" s="17"/>
      <c r="EQ381" s="17"/>
      <c r="ER381" s="17"/>
      <c r="ES381" s="17"/>
      <c r="ET381" s="17"/>
      <c r="EU381" s="17"/>
      <c r="EV381" s="17"/>
      <c r="EW381" s="17"/>
      <c r="EX381" s="17"/>
      <c r="EY381" s="17"/>
      <c r="EZ381" s="17"/>
      <c r="FA381" s="17"/>
      <c r="FB381" s="17"/>
      <c r="FC381" s="17"/>
      <c r="FD381" s="17"/>
      <c r="FE381" s="17"/>
      <c r="FF381" s="17"/>
      <c r="FG381" s="17"/>
      <c r="FH381" s="17"/>
      <c r="FI381" s="17"/>
      <c r="FJ381" s="17"/>
      <c r="FK381" s="17"/>
      <c r="FL381" s="17"/>
      <c r="FM381" s="17"/>
      <c r="FN381" s="17"/>
      <c r="FO381" s="17"/>
      <c r="FP381" s="17"/>
    </row>
    <row r="382" spans="1:172" s="56" customFormat="1" ht="15" customHeight="1" x14ac:dyDescent="0.2">
      <c r="A382" s="10" t="s">
        <v>423</v>
      </c>
      <c r="B382" s="9">
        <v>84</v>
      </c>
      <c r="C382" s="9">
        <v>90</v>
      </c>
      <c r="D382" s="13">
        <v>87</v>
      </c>
      <c r="E382" s="9">
        <v>-22.8</v>
      </c>
      <c r="F382" s="9">
        <v>44.3</v>
      </c>
      <c r="G382" s="34">
        <v>11</v>
      </c>
      <c r="H382" s="9">
        <v>350.3</v>
      </c>
      <c r="I382" s="9">
        <v>-56.1</v>
      </c>
      <c r="J382" s="9">
        <v>27.1</v>
      </c>
      <c r="K382" s="9">
        <v>8.9</v>
      </c>
      <c r="L382" s="13">
        <v>-73.7</v>
      </c>
      <c r="M382" s="13">
        <v>73.099999999999994</v>
      </c>
      <c r="N382" s="9">
        <v>21.8</v>
      </c>
      <c r="O382" s="9">
        <v>10</v>
      </c>
      <c r="P382" s="9" t="s">
        <v>1203</v>
      </c>
      <c r="Q382" s="9" t="s">
        <v>1203</v>
      </c>
      <c r="R382" s="7">
        <v>702</v>
      </c>
      <c r="S382" s="13">
        <v>-73.173117156028894</v>
      </c>
      <c r="T382" s="13">
        <v>73.339211594856295</v>
      </c>
      <c r="U382" s="9">
        <v>-44.389999999999901</v>
      </c>
      <c r="V382" s="9">
        <v>7.6799999999999899</v>
      </c>
      <c r="W382" s="9">
        <v>0.81</v>
      </c>
      <c r="X382" s="7" t="s">
        <v>1202</v>
      </c>
      <c r="Y382" s="10"/>
      <c r="Z382" s="10"/>
      <c r="AA382" s="10" t="b">
        <v>1</v>
      </c>
      <c r="AB382" s="7">
        <v>0</v>
      </c>
      <c r="AC382" s="14" t="s">
        <v>421</v>
      </c>
      <c r="AD382" s="7">
        <v>708</v>
      </c>
      <c r="AE382" s="7" t="s">
        <v>147</v>
      </c>
      <c r="AF382" s="14" t="s">
        <v>1292</v>
      </c>
      <c r="AG382" s="10"/>
      <c r="AH382" s="10"/>
      <c r="AI382" s="10"/>
      <c r="AJ382" s="32"/>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c r="EK382" s="10"/>
      <c r="EL382" s="10"/>
      <c r="EM382" s="10"/>
      <c r="EN382" s="10"/>
      <c r="EO382" s="10"/>
      <c r="EP382" s="10"/>
      <c r="EQ382" s="10"/>
      <c r="ER382" s="10"/>
      <c r="ES382" s="10"/>
      <c r="ET382" s="10"/>
      <c r="EU382" s="10"/>
      <c r="EV382" s="10"/>
      <c r="EW382" s="10"/>
      <c r="EX382" s="10"/>
      <c r="EY382" s="10"/>
      <c r="EZ382" s="10"/>
      <c r="FA382" s="10"/>
      <c r="FB382" s="10"/>
      <c r="FC382" s="10"/>
      <c r="FD382" s="10"/>
      <c r="FE382" s="10"/>
      <c r="FF382" s="10"/>
      <c r="FG382" s="10"/>
      <c r="FH382" s="10"/>
      <c r="FI382" s="10"/>
      <c r="FJ382" s="10"/>
      <c r="FK382" s="10"/>
      <c r="FL382" s="10"/>
      <c r="FM382" s="10"/>
      <c r="FN382" s="10"/>
      <c r="FO382" s="10"/>
      <c r="FP382" s="10"/>
    </row>
    <row r="383" spans="1:172" s="56" customFormat="1" ht="15" customHeight="1" x14ac:dyDescent="0.2">
      <c r="A383" s="10" t="s">
        <v>420</v>
      </c>
      <c r="B383" s="9">
        <v>84</v>
      </c>
      <c r="C383" s="9">
        <v>90</v>
      </c>
      <c r="D383" s="13">
        <v>87</v>
      </c>
      <c r="E383" s="9">
        <v>-16.399999999999999</v>
      </c>
      <c r="F383" s="9">
        <v>46</v>
      </c>
      <c r="G383" s="34">
        <v>12</v>
      </c>
      <c r="H383" s="9">
        <v>358</v>
      </c>
      <c r="I383" s="9">
        <v>-59.4</v>
      </c>
      <c r="J383" s="9">
        <v>78.900000000000006</v>
      </c>
      <c r="K383" s="9">
        <v>4.9000000000000004</v>
      </c>
      <c r="L383" s="13">
        <v>-66.099999999999994</v>
      </c>
      <c r="M383" s="13">
        <v>49.7</v>
      </c>
      <c r="N383" s="9"/>
      <c r="O383" s="9"/>
      <c r="P383" s="9">
        <v>48.685361266381122</v>
      </c>
      <c r="Q383" s="9">
        <v>6.283244689451351</v>
      </c>
      <c r="R383" s="7">
        <v>702</v>
      </c>
      <c r="S383" s="13">
        <v>-65.711060041862396</v>
      </c>
      <c r="T383" s="13">
        <v>50.091970600344403</v>
      </c>
      <c r="U383" s="9">
        <v>-44.389999999999901</v>
      </c>
      <c r="V383" s="9">
        <v>7.6799999999999899</v>
      </c>
      <c r="W383" s="9">
        <v>0.81</v>
      </c>
      <c r="X383" s="7" t="s">
        <v>1202</v>
      </c>
      <c r="Y383" s="10"/>
      <c r="Z383" s="10"/>
      <c r="AA383" s="10" t="b">
        <v>1</v>
      </c>
      <c r="AB383" s="7">
        <v>0</v>
      </c>
      <c r="AC383" s="14" t="s">
        <v>421</v>
      </c>
      <c r="AD383" s="7">
        <v>708</v>
      </c>
      <c r="AE383" s="7" t="s">
        <v>147</v>
      </c>
      <c r="AF383" s="14" t="s">
        <v>1292</v>
      </c>
      <c r="AG383" s="10"/>
      <c r="AH383" s="10"/>
      <c r="AI383" s="10"/>
      <c r="AJ383" s="32"/>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c r="EK383" s="10"/>
      <c r="EL383" s="10"/>
      <c r="EM383" s="10"/>
      <c r="EN383" s="10"/>
      <c r="EO383" s="10"/>
      <c r="EP383" s="10"/>
      <c r="EQ383" s="10"/>
      <c r="ER383" s="10"/>
      <c r="ES383" s="10"/>
      <c r="ET383" s="10"/>
      <c r="EU383" s="10"/>
      <c r="EV383" s="10"/>
      <c r="EW383" s="10"/>
      <c r="EX383" s="10"/>
      <c r="EY383" s="10"/>
      <c r="EZ383" s="10"/>
      <c r="FA383" s="10"/>
      <c r="FB383" s="10"/>
      <c r="FC383" s="10"/>
      <c r="FD383" s="10"/>
      <c r="FE383" s="10"/>
      <c r="FF383" s="10"/>
      <c r="FG383" s="10"/>
      <c r="FH383" s="10"/>
      <c r="FI383" s="10"/>
      <c r="FJ383" s="10"/>
      <c r="FK383" s="10"/>
      <c r="FL383" s="10"/>
      <c r="FM383" s="10"/>
      <c r="FN383" s="10"/>
      <c r="FO383" s="10"/>
      <c r="FP383" s="10"/>
    </row>
    <row r="384" spans="1:172" s="56" customFormat="1" ht="15" customHeight="1" x14ac:dyDescent="0.2">
      <c r="A384" s="10" t="s">
        <v>422</v>
      </c>
      <c r="B384" s="9">
        <v>84</v>
      </c>
      <c r="C384" s="9">
        <v>90</v>
      </c>
      <c r="D384" s="13">
        <v>87</v>
      </c>
      <c r="E384" s="9">
        <v>-21.8</v>
      </c>
      <c r="F384" s="9">
        <v>48</v>
      </c>
      <c r="G384" s="34">
        <v>14</v>
      </c>
      <c r="H384" s="9">
        <v>7.1</v>
      </c>
      <c r="I384" s="9">
        <v>-63.6</v>
      </c>
      <c r="J384" s="9">
        <v>81.5</v>
      </c>
      <c r="K384" s="9">
        <v>4.4000000000000004</v>
      </c>
      <c r="L384" s="13">
        <v>-65.8</v>
      </c>
      <c r="M384" s="13">
        <v>35.6</v>
      </c>
      <c r="N384" s="9"/>
      <c r="O384" s="9"/>
      <c r="P384" s="37">
        <v>42.085307899473243</v>
      </c>
      <c r="Q384" s="38">
        <v>6.1989273283237516</v>
      </c>
      <c r="R384" s="7">
        <v>702</v>
      </c>
      <c r="S384" s="13">
        <v>-65.526457864460497</v>
      </c>
      <c r="T384" s="13">
        <v>36.161240372622601</v>
      </c>
      <c r="U384" s="9">
        <v>-44.389999999999901</v>
      </c>
      <c r="V384" s="9">
        <v>7.6799999999999899</v>
      </c>
      <c r="W384" s="9">
        <v>0.81</v>
      </c>
      <c r="X384" s="7" t="s">
        <v>1202</v>
      </c>
      <c r="Y384" s="10"/>
      <c r="Z384" s="10"/>
      <c r="AA384" s="10" t="b">
        <v>1</v>
      </c>
      <c r="AB384" s="7">
        <v>0</v>
      </c>
      <c r="AC384" s="14" t="s">
        <v>421</v>
      </c>
      <c r="AD384" s="7">
        <v>708</v>
      </c>
      <c r="AE384" s="7" t="s">
        <v>147</v>
      </c>
      <c r="AF384" s="14" t="s">
        <v>1292</v>
      </c>
      <c r="AG384" s="10"/>
      <c r="AH384" s="10"/>
      <c r="AI384" s="10"/>
      <c r="AJ384" s="32"/>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c r="EK384" s="10"/>
      <c r="EL384" s="10"/>
      <c r="EM384" s="10"/>
      <c r="EN384" s="10"/>
      <c r="EO384" s="10"/>
      <c r="EP384" s="10"/>
      <c r="EQ384" s="10"/>
      <c r="ER384" s="10"/>
      <c r="ES384" s="10"/>
      <c r="ET384" s="10"/>
      <c r="EU384" s="10"/>
      <c r="EV384" s="10"/>
      <c r="EW384" s="10"/>
      <c r="EX384" s="10"/>
      <c r="EY384" s="10"/>
      <c r="EZ384" s="10"/>
      <c r="FA384" s="10"/>
      <c r="FB384" s="10"/>
      <c r="FC384" s="10"/>
      <c r="FD384" s="10"/>
      <c r="FE384" s="10"/>
      <c r="FF384" s="10"/>
      <c r="FG384" s="10"/>
      <c r="FH384" s="10"/>
      <c r="FI384" s="10"/>
      <c r="FJ384" s="10"/>
      <c r="FK384" s="10"/>
      <c r="FL384" s="10"/>
      <c r="FM384" s="10"/>
      <c r="FN384" s="10"/>
      <c r="FO384" s="10"/>
      <c r="FP384" s="10"/>
    </row>
    <row r="385" spans="1:172" s="56" customFormat="1" ht="15" customHeight="1" x14ac:dyDescent="0.2">
      <c r="A385" s="10" t="s">
        <v>427</v>
      </c>
      <c r="B385" s="9">
        <v>84</v>
      </c>
      <c r="C385" s="9">
        <v>90</v>
      </c>
      <c r="D385" s="13">
        <v>87</v>
      </c>
      <c r="E385" s="9">
        <v>-23.2</v>
      </c>
      <c r="F385" s="9">
        <v>44.3</v>
      </c>
      <c r="G385" s="34">
        <v>41</v>
      </c>
      <c r="H385" s="9">
        <v>353.5</v>
      </c>
      <c r="I385" s="9">
        <v>-54.8</v>
      </c>
      <c r="J385" s="9">
        <v>91.1</v>
      </c>
      <c r="K385" s="9">
        <v>2.4</v>
      </c>
      <c r="L385" s="13">
        <v>-76.8</v>
      </c>
      <c r="M385" s="13">
        <v>68.2</v>
      </c>
      <c r="N385" s="9"/>
      <c r="O385" s="9"/>
      <c r="P385" s="9">
        <v>68.14420433446206</v>
      </c>
      <c r="Q385" s="9">
        <v>2.7235612338116511</v>
      </c>
      <c r="R385" s="7">
        <v>702</v>
      </c>
      <c r="S385" s="13">
        <v>-76.294577592255294</v>
      </c>
      <c r="T385" s="13">
        <v>68.812923840807997</v>
      </c>
      <c r="U385" s="9">
        <v>-44.389999999999901</v>
      </c>
      <c r="V385" s="9">
        <v>7.6799999999999899</v>
      </c>
      <c r="W385" s="9">
        <v>0.81</v>
      </c>
      <c r="X385" s="7" t="s">
        <v>1202</v>
      </c>
      <c r="Y385" s="10"/>
      <c r="Z385" s="10"/>
      <c r="AA385" s="10" t="b">
        <v>1</v>
      </c>
      <c r="AB385" s="7">
        <v>0</v>
      </c>
      <c r="AC385" s="14" t="s">
        <v>428</v>
      </c>
      <c r="AD385" s="7">
        <v>3210</v>
      </c>
      <c r="AE385" s="7" t="s">
        <v>147</v>
      </c>
      <c r="AF385" s="10" t="s">
        <v>430</v>
      </c>
      <c r="AG385" s="14" t="s">
        <v>429</v>
      </c>
      <c r="AH385" s="10"/>
      <c r="AI385" s="10"/>
      <c r="AJ385" s="32"/>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c r="EK385" s="10"/>
      <c r="EL385" s="10"/>
      <c r="EM385" s="10"/>
      <c r="EN385" s="10"/>
      <c r="EO385" s="10"/>
      <c r="EP385" s="10"/>
      <c r="EQ385" s="10"/>
      <c r="ER385" s="10"/>
      <c r="ES385" s="10"/>
      <c r="ET385" s="10"/>
      <c r="EU385" s="10"/>
      <c r="EV385" s="10"/>
      <c r="EW385" s="10"/>
      <c r="EX385" s="10"/>
      <c r="EY385" s="10"/>
      <c r="EZ385" s="10"/>
      <c r="FA385" s="10"/>
      <c r="FB385" s="10"/>
      <c r="FC385" s="10"/>
      <c r="FD385" s="10"/>
      <c r="FE385" s="10"/>
      <c r="FF385" s="10"/>
      <c r="FG385" s="10"/>
      <c r="FH385" s="10"/>
      <c r="FI385" s="10"/>
      <c r="FJ385" s="10"/>
      <c r="FK385" s="10"/>
      <c r="FL385" s="10"/>
      <c r="FM385" s="10"/>
      <c r="FN385" s="10"/>
      <c r="FO385" s="10"/>
      <c r="FP385" s="10"/>
    </row>
    <row r="386" spans="1:172" s="56" customFormat="1" ht="15" customHeight="1" x14ac:dyDescent="0.2">
      <c r="A386" s="10" t="s">
        <v>424</v>
      </c>
      <c r="B386" s="9">
        <v>84</v>
      </c>
      <c r="C386" s="9">
        <v>90</v>
      </c>
      <c r="D386" s="13">
        <v>87</v>
      </c>
      <c r="E386" s="9">
        <v>-18</v>
      </c>
      <c r="F386" s="9">
        <v>47</v>
      </c>
      <c r="G386" s="34">
        <v>16</v>
      </c>
      <c r="H386" s="9">
        <v>6</v>
      </c>
      <c r="I386" s="9">
        <v>-61</v>
      </c>
      <c r="J386" s="9">
        <v>75</v>
      </c>
      <c r="K386" s="9">
        <v>4.3</v>
      </c>
      <c r="L386" s="13">
        <v>-65.5</v>
      </c>
      <c r="M386" s="13">
        <v>38</v>
      </c>
      <c r="N386" s="9">
        <v>38.799999999999997</v>
      </c>
      <c r="O386" s="9">
        <v>6</v>
      </c>
      <c r="P386" s="9" t="s">
        <v>1203</v>
      </c>
      <c r="Q386" s="9" t="s">
        <v>1203</v>
      </c>
      <c r="R386" s="7">
        <v>702</v>
      </c>
      <c r="S386" s="13">
        <v>-65.205518184039803</v>
      </c>
      <c r="T386" s="13">
        <v>38.519449511142199</v>
      </c>
      <c r="U386" s="9">
        <v>-44.389999999999901</v>
      </c>
      <c r="V386" s="9">
        <v>7.6799999999999899</v>
      </c>
      <c r="W386" s="9">
        <v>0.81</v>
      </c>
      <c r="X386" s="7" t="s">
        <v>1202</v>
      </c>
      <c r="Y386" s="10"/>
      <c r="Z386" s="10"/>
      <c r="AA386" s="10" t="b">
        <v>1</v>
      </c>
      <c r="AB386" s="7">
        <v>0</v>
      </c>
      <c r="AC386" s="14" t="s">
        <v>425</v>
      </c>
      <c r="AD386" s="7">
        <v>3211</v>
      </c>
      <c r="AE386" s="7" t="s">
        <v>147</v>
      </c>
      <c r="AF386" s="14" t="s">
        <v>1292</v>
      </c>
      <c r="AG386" s="10"/>
      <c r="AH386" s="10"/>
      <c r="AI386" s="10"/>
      <c r="AJ386" s="32"/>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c r="EK386" s="10"/>
      <c r="EL386" s="10"/>
      <c r="EM386" s="10"/>
      <c r="EN386" s="10"/>
      <c r="EO386" s="10"/>
      <c r="EP386" s="10"/>
      <c r="EQ386" s="10"/>
      <c r="ER386" s="10"/>
      <c r="ES386" s="10"/>
      <c r="ET386" s="10"/>
      <c r="EU386" s="10"/>
      <c r="EV386" s="10"/>
      <c r="EW386" s="10"/>
      <c r="EX386" s="10"/>
      <c r="EY386" s="10"/>
      <c r="EZ386" s="10"/>
      <c r="FA386" s="10"/>
      <c r="FB386" s="10"/>
      <c r="FC386" s="10"/>
      <c r="FD386" s="10"/>
      <c r="FE386" s="10"/>
      <c r="FF386" s="10"/>
      <c r="FG386" s="10"/>
      <c r="FH386" s="10"/>
      <c r="FI386" s="10"/>
      <c r="FJ386" s="10"/>
      <c r="FK386" s="10"/>
      <c r="FL386" s="10"/>
      <c r="FM386" s="10"/>
      <c r="FN386" s="10"/>
      <c r="FO386" s="10"/>
      <c r="FP386" s="10"/>
    </row>
    <row r="387" spans="1:172" s="56" customFormat="1" ht="15" customHeight="1" x14ac:dyDescent="0.2">
      <c r="A387" s="14" t="s">
        <v>444</v>
      </c>
      <c r="B387" s="9">
        <v>91.3</v>
      </c>
      <c r="C387" s="9">
        <v>91.9</v>
      </c>
      <c r="D387" s="13">
        <v>91.6</v>
      </c>
      <c r="E387" s="9">
        <v>-14.5</v>
      </c>
      <c r="F387" s="9">
        <v>50.1</v>
      </c>
      <c r="G387" s="34">
        <v>5</v>
      </c>
      <c r="H387" s="9">
        <v>3.6</v>
      </c>
      <c r="I387" s="9">
        <v>-56.1</v>
      </c>
      <c r="J387" s="9">
        <v>52</v>
      </c>
      <c r="K387" s="9">
        <v>10.7</v>
      </c>
      <c r="L387" s="13">
        <v>-66.7</v>
      </c>
      <c r="M387" s="6">
        <v>43.5</v>
      </c>
      <c r="N387" s="9">
        <v>41.6</v>
      </c>
      <c r="O387" s="9">
        <v>12</v>
      </c>
      <c r="P387" s="9" t="s">
        <v>1203</v>
      </c>
      <c r="Q387" s="9" t="s">
        <v>1203</v>
      </c>
      <c r="R387" s="7">
        <v>702</v>
      </c>
      <c r="S387" s="13">
        <v>-66.359145408130502</v>
      </c>
      <c r="T387" s="13">
        <v>44.010841639213197</v>
      </c>
      <c r="U387" s="9">
        <v>-44.389999999999901</v>
      </c>
      <c r="V387" s="9">
        <v>7.6799999999999899</v>
      </c>
      <c r="W387" s="9">
        <v>0.81</v>
      </c>
      <c r="X387" s="7" t="s">
        <v>1202</v>
      </c>
      <c r="Y387" s="7"/>
      <c r="Z387" s="7"/>
      <c r="AA387" s="7" t="b">
        <v>1</v>
      </c>
      <c r="AB387" s="7">
        <v>0</v>
      </c>
      <c r="AC387" s="14" t="s">
        <v>445</v>
      </c>
      <c r="AD387" s="7"/>
      <c r="AE387" s="7" t="s">
        <v>147</v>
      </c>
      <c r="AF387" s="10" t="s">
        <v>446</v>
      </c>
      <c r="AG387" s="14" t="s">
        <v>1302</v>
      </c>
      <c r="AH387" s="10" t="s">
        <v>1314</v>
      </c>
      <c r="AI387" s="10"/>
      <c r="AJ387" s="32"/>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c r="EF387" s="10"/>
      <c r="EG387" s="10"/>
      <c r="EH387" s="10"/>
      <c r="EI387" s="10"/>
      <c r="EJ387" s="10"/>
      <c r="EK387" s="10"/>
      <c r="EL387" s="10"/>
      <c r="EM387" s="10"/>
      <c r="EN387" s="10"/>
      <c r="EO387" s="10"/>
      <c r="EP387" s="10"/>
      <c r="EQ387" s="10"/>
      <c r="ER387" s="10"/>
      <c r="ES387" s="10"/>
      <c r="ET387" s="10"/>
      <c r="EU387" s="10"/>
      <c r="EV387" s="10"/>
      <c r="EW387" s="10"/>
      <c r="EX387" s="10"/>
      <c r="EY387" s="10"/>
      <c r="EZ387" s="10"/>
      <c r="FA387" s="10"/>
      <c r="FB387" s="10"/>
      <c r="FC387" s="10"/>
      <c r="FD387" s="10"/>
      <c r="FE387" s="10"/>
      <c r="FF387" s="10"/>
      <c r="FG387" s="10"/>
      <c r="FH387" s="10"/>
      <c r="FI387" s="10"/>
      <c r="FJ387" s="10"/>
      <c r="FK387" s="10"/>
      <c r="FL387" s="10"/>
      <c r="FM387" s="10"/>
      <c r="FN387" s="10"/>
      <c r="FO387" s="10"/>
      <c r="FP387" s="10"/>
    </row>
    <row r="388" spans="1:172" s="56" customFormat="1" ht="15" customHeight="1" x14ac:dyDescent="0.2">
      <c r="A388" s="56" t="s">
        <v>764</v>
      </c>
      <c r="B388" s="54">
        <v>174.7</v>
      </c>
      <c r="C388" s="54">
        <v>237</v>
      </c>
      <c r="D388" s="55">
        <v>205.85</v>
      </c>
      <c r="E388" s="54">
        <v>-18</v>
      </c>
      <c r="F388" s="54">
        <v>45.4</v>
      </c>
      <c r="G388" s="53">
        <v>32</v>
      </c>
      <c r="H388" s="54">
        <v>346.9</v>
      </c>
      <c r="I388" s="54">
        <v>-45.2</v>
      </c>
      <c r="J388" s="54"/>
      <c r="K388" s="54"/>
      <c r="L388" s="55">
        <v>-74.2</v>
      </c>
      <c r="M388" s="55">
        <v>97.1</v>
      </c>
      <c r="N388" s="54">
        <v>28.5</v>
      </c>
      <c r="O388" s="54">
        <v>4.8</v>
      </c>
      <c r="P388" s="54" t="s">
        <v>1203</v>
      </c>
      <c r="Q388" s="54" t="s">
        <v>1203</v>
      </c>
      <c r="R388" s="52">
        <v>702</v>
      </c>
      <c r="S388" s="55">
        <v>-59.704981750643597</v>
      </c>
      <c r="T388" s="55">
        <v>80.365728958341293</v>
      </c>
      <c r="U388" s="54">
        <v>-16.088960121899099</v>
      </c>
      <c r="V388" s="54">
        <v>-21.077460919405301</v>
      </c>
      <c r="W388" s="54">
        <v>15.936772066889899</v>
      </c>
      <c r="X388" s="52" t="s">
        <v>1204</v>
      </c>
      <c r="Y388" s="52"/>
      <c r="Z388" s="52"/>
      <c r="AA388" s="52" t="b">
        <v>1</v>
      </c>
      <c r="AB388" s="52" t="s">
        <v>165</v>
      </c>
      <c r="AC388" s="49" t="s">
        <v>765</v>
      </c>
      <c r="AD388" s="52">
        <v>147</v>
      </c>
      <c r="AE388" s="52" t="s">
        <v>147</v>
      </c>
      <c r="AF388" s="56" t="s">
        <v>760</v>
      </c>
      <c r="AG388" s="49" t="s">
        <v>1327</v>
      </c>
      <c r="AH388" s="56" t="s">
        <v>1361</v>
      </c>
      <c r="AI388" s="10"/>
      <c r="AJ388" s="32"/>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c r="EK388" s="10"/>
      <c r="EL388" s="10"/>
      <c r="EM388" s="10"/>
      <c r="EN388" s="10"/>
      <c r="EO388" s="10"/>
      <c r="EP388" s="10"/>
      <c r="EQ388" s="10"/>
      <c r="ER388" s="10"/>
      <c r="ES388" s="10"/>
      <c r="ET388" s="10"/>
      <c r="EU388" s="10"/>
      <c r="EV388" s="10"/>
      <c r="EW388" s="10"/>
      <c r="EX388" s="10"/>
      <c r="EY388" s="10"/>
      <c r="EZ388" s="10"/>
      <c r="FA388" s="10"/>
      <c r="FB388" s="10"/>
      <c r="FC388" s="10"/>
      <c r="FD388" s="10"/>
      <c r="FE388" s="10"/>
      <c r="FF388" s="10"/>
      <c r="FG388" s="10"/>
      <c r="FH388" s="10"/>
      <c r="FI388" s="10"/>
      <c r="FJ388" s="10"/>
      <c r="FK388" s="10"/>
      <c r="FL388" s="10"/>
      <c r="FM388" s="10"/>
      <c r="FN388" s="10"/>
      <c r="FO388" s="10"/>
      <c r="FP388" s="10"/>
    </row>
    <row r="389" spans="1:172" s="56" customFormat="1" ht="15" customHeight="1" x14ac:dyDescent="0.2">
      <c r="A389" s="56" t="s">
        <v>868</v>
      </c>
      <c r="B389" s="54">
        <v>246.7</v>
      </c>
      <c r="C389" s="54">
        <v>259.5</v>
      </c>
      <c r="D389" s="55">
        <f>(B389+C389)/2</f>
        <v>253.1</v>
      </c>
      <c r="E389" s="52">
        <v>-23.8</v>
      </c>
      <c r="F389" s="52">
        <v>44.5</v>
      </c>
      <c r="G389" s="58">
        <v>14</v>
      </c>
      <c r="H389" s="54">
        <v>346.2</v>
      </c>
      <c r="I389" s="54">
        <v>-46.8</v>
      </c>
      <c r="J389" s="54">
        <v>28.3</v>
      </c>
      <c r="K389" s="54">
        <v>7.6</v>
      </c>
      <c r="L389" s="55">
        <v>-76.7</v>
      </c>
      <c r="M389" s="58">
        <v>110.8</v>
      </c>
      <c r="N389" s="52">
        <v>28.3</v>
      </c>
      <c r="O389" s="52">
        <v>7.6</v>
      </c>
      <c r="P389" s="54" t="s">
        <v>1203</v>
      </c>
      <c r="Q389" s="54" t="s">
        <v>1203</v>
      </c>
      <c r="R389" s="52">
        <v>702</v>
      </c>
      <c r="S389" s="55">
        <v>-63.111231548650998</v>
      </c>
      <c r="T389" s="55">
        <v>85.643536531435004</v>
      </c>
      <c r="U389" s="54">
        <v>-16.088960121899099</v>
      </c>
      <c r="V389" s="54">
        <v>-21.077460919405301</v>
      </c>
      <c r="W389" s="54">
        <v>15.936772066889899</v>
      </c>
      <c r="X389" s="52" t="s">
        <v>1204</v>
      </c>
      <c r="AA389" s="52" t="b">
        <v>1</v>
      </c>
      <c r="AB389" s="52" t="s">
        <v>165</v>
      </c>
      <c r="AC389" s="65" t="s">
        <v>869</v>
      </c>
      <c r="AD389" s="52">
        <v>3329</v>
      </c>
      <c r="AE389" s="52" t="s">
        <v>147</v>
      </c>
      <c r="AF389" s="56" t="s">
        <v>1398</v>
      </c>
      <c r="AG389" s="49" t="s">
        <v>1395</v>
      </c>
      <c r="AI389" s="10"/>
      <c r="AJ389" s="32"/>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c r="EK389" s="10"/>
      <c r="EL389" s="10"/>
      <c r="EM389" s="10"/>
      <c r="EN389" s="10"/>
      <c r="EO389" s="10"/>
      <c r="EP389" s="10"/>
      <c r="EQ389" s="10"/>
      <c r="ER389" s="10"/>
      <c r="ES389" s="10"/>
      <c r="ET389" s="10"/>
      <c r="EU389" s="10"/>
      <c r="EV389" s="10"/>
      <c r="EW389" s="10"/>
      <c r="EX389" s="10"/>
      <c r="EY389" s="10"/>
      <c r="EZ389" s="10"/>
      <c r="FA389" s="10"/>
      <c r="FB389" s="10"/>
      <c r="FC389" s="10"/>
      <c r="FD389" s="10"/>
      <c r="FE389" s="10"/>
      <c r="FF389" s="10"/>
      <c r="FG389" s="10"/>
      <c r="FH389" s="10"/>
      <c r="FI389" s="10"/>
      <c r="FJ389" s="10"/>
      <c r="FK389" s="10"/>
      <c r="FL389" s="10"/>
      <c r="FM389" s="10"/>
      <c r="FN389" s="10"/>
      <c r="FO389" s="10"/>
      <c r="FP389" s="10"/>
    </row>
    <row r="390" spans="1:172" s="56" customFormat="1" ht="15" customHeight="1" x14ac:dyDescent="0.15">
      <c r="A390" s="56" t="s">
        <v>1146</v>
      </c>
      <c r="B390" s="54">
        <v>274.39999999999998</v>
      </c>
      <c r="C390" s="54">
        <v>323.39999999999998</v>
      </c>
      <c r="D390" s="55">
        <f>(B390+C390)/2</f>
        <v>298.89999999999998</v>
      </c>
      <c r="E390" s="54">
        <v>-23.7</v>
      </c>
      <c r="F390" s="54">
        <v>44.6</v>
      </c>
      <c r="G390" s="58">
        <v>5</v>
      </c>
      <c r="H390" s="54">
        <v>149.19999999999999</v>
      </c>
      <c r="I390" s="54">
        <v>70.7</v>
      </c>
      <c r="J390" s="54">
        <v>65.8</v>
      </c>
      <c r="K390" s="54">
        <v>9.5</v>
      </c>
      <c r="L390" s="55">
        <v>-51.3</v>
      </c>
      <c r="M390" s="58">
        <v>72.599999999999994</v>
      </c>
      <c r="N390" s="52">
        <v>65.8</v>
      </c>
      <c r="O390" s="52">
        <v>9.5</v>
      </c>
      <c r="P390" s="61" t="s">
        <v>1203</v>
      </c>
      <c r="Q390" s="61" t="s">
        <v>1203</v>
      </c>
      <c r="R390" s="52">
        <v>702</v>
      </c>
      <c r="S390" s="55">
        <v>-35.995022413349197</v>
      </c>
      <c r="T390" s="55">
        <v>67.826130902865103</v>
      </c>
      <c r="U390" s="54">
        <v>-16.088960121899099</v>
      </c>
      <c r="V390" s="54">
        <v>-21.077460919405301</v>
      </c>
      <c r="W390" s="54">
        <v>15.936772066889899</v>
      </c>
      <c r="X390" s="52" t="s">
        <v>1204</v>
      </c>
      <c r="AA390" s="52" t="b">
        <v>1</v>
      </c>
      <c r="AB390" s="52" t="s">
        <v>165</v>
      </c>
      <c r="AC390" s="49" t="s">
        <v>869</v>
      </c>
      <c r="AD390" s="52">
        <v>3329</v>
      </c>
      <c r="AE390" s="52" t="s">
        <v>147</v>
      </c>
      <c r="AF390" s="56" t="s">
        <v>1143</v>
      </c>
      <c r="AG390" s="49" t="s">
        <v>1395</v>
      </c>
      <c r="AH390" s="49" t="s">
        <v>1361</v>
      </c>
      <c r="AI390" s="10"/>
      <c r="AJ390" s="32"/>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c r="EK390" s="10"/>
      <c r="EL390" s="10"/>
      <c r="EM390" s="10"/>
      <c r="EN390" s="10"/>
      <c r="EO390" s="10"/>
      <c r="EP390" s="10"/>
      <c r="EQ390" s="10"/>
      <c r="ER390" s="10"/>
      <c r="ES390" s="10"/>
      <c r="ET390" s="10"/>
      <c r="EU390" s="10"/>
      <c r="EV390" s="10"/>
      <c r="EW390" s="10"/>
      <c r="EX390" s="10"/>
      <c r="EY390" s="10"/>
      <c r="EZ390" s="10"/>
      <c r="FA390" s="10"/>
      <c r="FB390" s="10"/>
      <c r="FC390" s="10"/>
      <c r="FD390" s="10"/>
      <c r="FE390" s="10"/>
      <c r="FF390" s="10"/>
      <c r="FG390" s="10"/>
      <c r="FH390" s="10"/>
      <c r="FI390" s="10"/>
      <c r="FJ390" s="10"/>
      <c r="FK390" s="10"/>
      <c r="FL390" s="10"/>
      <c r="FM390" s="10"/>
      <c r="FN390" s="10"/>
      <c r="FO390" s="10"/>
      <c r="FP390" s="10"/>
    </row>
    <row r="391" spans="1:172" s="56" customFormat="1" ht="15" customHeight="1" x14ac:dyDescent="0.2">
      <c r="A391" s="14" t="s">
        <v>448</v>
      </c>
      <c r="B391" s="9">
        <v>89.4</v>
      </c>
      <c r="C391" s="9">
        <v>93.9</v>
      </c>
      <c r="D391" s="13">
        <f>AVERAGE(B391,C391)</f>
        <v>91.65</v>
      </c>
      <c r="E391" s="9">
        <v>28.2</v>
      </c>
      <c r="F391" s="9">
        <f>360-11.78</f>
        <v>348.22</v>
      </c>
      <c r="G391" s="34">
        <v>88</v>
      </c>
      <c r="H391" s="9">
        <v>331.6</v>
      </c>
      <c r="I391" s="9">
        <v>41.3</v>
      </c>
      <c r="J391" s="9">
        <v>32.700000000000003</v>
      </c>
      <c r="K391" s="9">
        <v>2.7</v>
      </c>
      <c r="L391" s="13">
        <v>-64.3</v>
      </c>
      <c r="M391" s="13">
        <v>76.3</v>
      </c>
      <c r="N391" s="9">
        <v>38.700000000000003</v>
      </c>
      <c r="O391" s="9">
        <v>2.5</v>
      </c>
      <c r="P391" s="9" t="s">
        <v>1203</v>
      </c>
      <c r="Q391" s="9" t="s">
        <v>1203</v>
      </c>
      <c r="R391" s="7">
        <v>707</v>
      </c>
      <c r="S391" s="13">
        <v>-65.023243868470303</v>
      </c>
      <c r="T391" s="13">
        <v>75.071244887758397</v>
      </c>
      <c r="U391" s="9">
        <v>-35.61</v>
      </c>
      <c r="V391" s="9">
        <v>-170.82</v>
      </c>
      <c r="W391" s="9">
        <v>0.96999999999999897</v>
      </c>
      <c r="X391" s="7" t="s">
        <v>1204</v>
      </c>
      <c r="Y391" s="28">
        <v>0.7</v>
      </c>
      <c r="Z391" s="9">
        <v>2</v>
      </c>
      <c r="AA391" s="7" t="s">
        <v>152</v>
      </c>
      <c r="AB391" s="7">
        <v>0</v>
      </c>
      <c r="AC391" s="14" t="s">
        <v>449</v>
      </c>
      <c r="AD391" s="7"/>
      <c r="AE391" s="7" t="s">
        <v>1369</v>
      </c>
      <c r="AF391" s="10" t="s">
        <v>447</v>
      </c>
      <c r="AG391" s="14" t="s">
        <v>450</v>
      </c>
      <c r="AH391" s="10"/>
      <c r="AI391" s="10"/>
      <c r="AJ391" s="32"/>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c r="EK391" s="10"/>
      <c r="EL391" s="10"/>
      <c r="EM391" s="10"/>
      <c r="EN391" s="10"/>
      <c r="EO391" s="10"/>
      <c r="EP391" s="10"/>
      <c r="EQ391" s="10"/>
      <c r="ER391" s="10"/>
      <c r="ES391" s="10"/>
      <c r="ET391" s="10"/>
      <c r="EU391" s="10"/>
      <c r="EV391" s="10"/>
      <c r="EW391" s="10"/>
      <c r="EX391" s="10"/>
      <c r="EY391" s="10"/>
      <c r="EZ391" s="10"/>
      <c r="FA391" s="10"/>
      <c r="FB391" s="10"/>
      <c r="FC391" s="10"/>
      <c r="FD391" s="10"/>
      <c r="FE391" s="10"/>
      <c r="FF391" s="10"/>
      <c r="FG391" s="10"/>
      <c r="FH391" s="10"/>
      <c r="FI391" s="10"/>
      <c r="FJ391" s="10"/>
      <c r="FK391" s="10"/>
      <c r="FL391" s="10"/>
      <c r="FM391" s="10"/>
      <c r="FN391" s="10"/>
      <c r="FO391" s="10"/>
      <c r="FP391" s="10"/>
    </row>
    <row r="392" spans="1:172" s="56" customFormat="1" ht="15" customHeight="1" x14ac:dyDescent="0.2">
      <c r="A392" s="56" t="s">
        <v>513</v>
      </c>
      <c r="B392" s="54">
        <v>110</v>
      </c>
      <c r="C392" s="54">
        <v>128</v>
      </c>
      <c r="D392" s="55">
        <v>119</v>
      </c>
      <c r="E392" s="54">
        <v>32.5</v>
      </c>
      <c r="F392" s="54">
        <v>352.5</v>
      </c>
      <c r="G392" s="53">
        <v>4</v>
      </c>
      <c r="H392" s="54">
        <v>312</v>
      </c>
      <c r="I392" s="54">
        <v>34</v>
      </c>
      <c r="J392" s="54">
        <v>43.5</v>
      </c>
      <c r="K392" s="54">
        <v>14</v>
      </c>
      <c r="L392" s="55">
        <v>-46</v>
      </c>
      <c r="M392" s="55">
        <v>78</v>
      </c>
      <c r="N392" s="54">
        <v>38.5</v>
      </c>
      <c r="O392" s="54">
        <v>15</v>
      </c>
      <c r="P392" s="64" t="s">
        <v>1203</v>
      </c>
      <c r="Q392" s="64" t="s">
        <v>1203</v>
      </c>
      <c r="R392" s="52">
        <v>707</v>
      </c>
      <c r="S392" s="55">
        <v>-46.733156691883302</v>
      </c>
      <c r="T392" s="55">
        <v>77.130496325946197</v>
      </c>
      <c r="U392" s="54">
        <v>-35.61</v>
      </c>
      <c r="V392" s="54">
        <v>-170.82</v>
      </c>
      <c r="W392" s="54">
        <v>0.96999999999999897</v>
      </c>
      <c r="X392" s="52" t="s">
        <v>1202</v>
      </c>
      <c r="AA392" s="52" t="b">
        <v>1</v>
      </c>
      <c r="AB392" s="52" t="s">
        <v>31</v>
      </c>
      <c r="AC392" s="49" t="s">
        <v>514</v>
      </c>
      <c r="AD392" s="52">
        <v>1859</v>
      </c>
      <c r="AE392" s="52" t="s">
        <v>147</v>
      </c>
      <c r="AF392" s="56" t="s">
        <v>516</v>
      </c>
      <c r="AG392" s="49" t="s">
        <v>515</v>
      </c>
      <c r="AI392" s="10"/>
      <c r="AJ392" s="32"/>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c r="EK392" s="10"/>
      <c r="EL392" s="10"/>
      <c r="EM392" s="10"/>
      <c r="EN392" s="10"/>
      <c r="EO392" s="10"/>
      <c r="EP392" s="10"/>
      <c r="EQ392" s="10"/>
      <c r="ER392" s="10"/>
      <c r="ES392" s="10"/>
      <c r="ET392" s="10"/>
      <c r="EU392" s="10"/>
      <c r="EV392" s="10"/>
      <c r="EW392" s="10"/>
      <c r="EX392" s="10"/>
      <c r="EY392" s="10"/>
      <c r="EZ392" s="10"/>
      <c r="FA392" s="10"/>
      <c r="FB392" s="10"/>
      <c r="FC392" s="10"/>
      <c r="FD392" s="10"/>
      <c r="FE392" s="10"/>
      <c r="FF392" s="10"/>
      <c r="FG392" s="10"/>
      <c r="FH392" s="10"/>
      <c r="FI392" s="10"/>
      <c r="FJ392" s="10"/>
      <c r="FK392" s="10"/>
      <c r="FL392" s="10"/>
      <c r="FM392" s="10"/>
      <c r="FN392" s="10"/>
      <c r="FO392" s="10"/>
      <c r="FP392" s="10"/>
    </row>
    <row r="393" spans="1:172" s="56" customFormat="1" ht="15" customHeight="1" x14ac:dyDescent="0.15">
      <c r="A393" s="56" t="s">
        <v>632</v>
      </c>
      <c r="B393" s="54">
        <v>170</v>
      </c>
      <c r="C393" s="54">
        <v>177</v>
      </c>
      <c r="D393" s="55">
        <v>173.5</v>
      </c>
      <c r="E393" s="54">
        <v>32.200000000000003</v>
      </c>
      <c r="F393" s="54">
        <v>-6</v>
      </c>
      <c r="G393" s="58">
        <v>11</v>
      </c>
      <c r="H393" s="54">
        <v>134.1</v>
      </c>
      <c r="I393" s="54">
        <v>-26.8</v>
      </c>
      <c r="J393" s="54">
        <v>26.4</v>
      </c>
      <c r="K393" s="54">
        <v>9</v>
      </c>
      <c r="L393" s="55">
        <v>-44</v>
      </c>
      <c r="M393" s="55">
        <v>71</v>
      </c>
      <c r="N393" s="54"/>
      <c r="O393" s="54"/>
      <c r="P393" s="61">
        <v>49.114224796341404</v>
      </c>
      <c r="Q393" s="61">
        <v>6.5799402868890242</v>
      </c>
      <c r="R393" s="52">
        <v>707</v>
      </c>
      <c r="S393" s="55">
        <v>-43.306064725506602</v>
      </c>
      <c r="T393" s="55">
        <v>72.684349382292694</v>
      </c>
      <c r="U393" s="54">
        <v>31.250219940610901</v>
      </c>
      <c r="V393" s="54">
        <v>36.930099144381401</v>
      </c>
      <c r="W393" s="54">
        <v>1.41820132763735</v>
      </c>
      <c r="X393" s="52" t="s">
        <v>1202</v>
      </c>
      <c r="AA393" s="52" t="b">
        <v>1</v>
      </c>
      <c r="AB393" s="52" t="s">
        <v>31</v>
      </c>
      <c r="AC393" s="65" t="s">
        <v>633</v>
      </c>
      <c r="AD393" s="52">
        <v>125</v>
      </c>
      <c r="AE393" s="52" t="s">
        <v>147</v>
      </c>
      <c r="AF393" s="56" t="s">
        <v>634</v>
      </c>
      <c r="AG393" s="49"/>
      <c r="AH393" s="56" t="s">
        <v>1441</v>
      </c>
      <c r="AI393" s="10"/>
      <c r="AJ393" s="32"/>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c r="EK393" s="10"/>
      <c r="EL393" s="10"/>
      <c r="EM393" s="10"/>
      <c r="EN393" s="10"/>
      <c r="EO393" s="10"/>
      <c r="EP393" s="10"/>
      <c r="EQ393" s="10"/>
      <c r="ER393" s="10"/>
      <c r="ES393" s="10"/>
      <c r="ET393" s="10"/>
      <c r="EU393" s="10"/>
      <c r="EV393" s="10"/>
      <c r="EW393" s="10"/>
      <c r="EX393" s="10"/>
      <c r="EY393" s="10"/>
      <c r="EZ393" s="10"/>
      <c r="FA393" s="10"/>
      <c r="FB393" s="10"/>
      <c r="FC393" s="10"/>
      <c r="FD393" s="10"/>
      <c r="FE393" s="10"/>
      <c r="FF393" s="10"/>
      <c r="FG393" s="10"/>
      <c r="FH393" s="10"/>
      <c r="FI393" s="10"/>
      <c r="FJ393" s="10"/>
      <c r="FK393" s="10"/>
      <c r="FL393" s="10"/>
      <c r="FM393" s="10"/>
      <c r="FN393" s="10"/>
      <c r="FO393" s="10"/>
      <c r="FP393" s="10"/>
    </row>
    <row r="394" spans="1:172" s="56" customFormat="1" ht="15" customHeight="1" x14ac:dyDescent="0.15">
      <c r="A394" s="56" t="s">
        <v>635</v>
      </c>
      <c r="B394" s="54">
        <v>170</v>
      </c>
      <c r="C394" s="54">
        <v>177</v>
      </c>
      <c r="D394" s="55">
        <v>173.5</v>
      </c>
      <c r="E394" s="54">
        <v>32.5</v>
      </c>
      <c r="F394" s="54">
        <v>-6</v>
      </c>
      <c r="G394" s="58">
        <v>9</v>
      </c>
      <c r="H394" s="54">
        <v>315</v>
      </c>
      <c r="I394" s="54">
        <v>26</v>
      </c>
      <c r="J394" s="54">
        <v>24.8</v>
      </c>
      <c r="K394" s="54">
        <v>11</v>
      </c>
      <c r="L394" s="55">
        <v>-45</v>
      </c>
      <c r="M394" s="55">
        <v>68</v>
      </c>
      <c r="N394" s="54">
        <v>24.8</v>
      </c>
      <c r="O394" s="54">
        <v>11</v>
      </c>
      <c r="P394" s="61" t="s">
        <v>1203</v>
      </c>
      <c r="Q394" s="61" t="s">
        <v>1203</v>
      </c>
      <c r="R394" s="52">
        <v>707</v>
      </c>
      <c r="S394" s="55">
        <v>-44.358430398502101</v>
      </c>
      <c r="T394" s="55">
        <v>69.753147759893395</v>
      </c>
      <c r="U394" s="54">
        <v>31.250219940610901</v>
      </c>
      <c r="V394" s="54">
        <v>36.930099144381401</v>
      </c>
      <c r="W394" s="54">
        <v>1.41820132763735</v>
      </c>
      <c r="X394" s="52" t="s">
        <v>1202</v>
      </c>
      <c r="AA394" s="52" t="b">
        <v>1</v>
      </c>
      <c r="AB394" s="52" t="s">
        <v>31</v>
      </c>
      <c r="AC394" s="65" t="s">
        <v>514</v>
      </c>
      <c r="AD394" s="52">
        <v>1859</v>
      </c>
      <c r="AE394" s="52" t="s">
        <v>147</v>
      </c>
      <c r="AF394" s="56" t="s">
        <v>634</v>
      </c>
      <c r="AG394" s="49"/>
      <c r="AH394" s="56" t="s">
        <v>1441</v>
      </c>
      <c r="AI394" s="10"/>
      <c r="AJ394" s="32"/>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c r="EF394" s="10"/>
      <c r="EG394" s="10"/>
      <c r="EH394" s="10"/>
      <c r="EI394" s="10"/>
      <c r="EJ394" s="10"/>
      <c r="EK394" s="10"/>
      <c r="EL394" s="10"/>
      <c r="EM394" s="10"/>
      <c r="EN394" s="10"/>
      <c r="EO394" s="10"/>
      <c r="EP394" s="10"/>
      <c r="EQ394" s="10"/>
      <c r="ER394" s="10"/>
      <c r="ES394" s="10"/>
      <c r="ET394" s="10"/>
      <c r="EU394" s="10"/>
      <c r="EV394" s="10"/>
      <c r="EW394" s="10"/>
      <c r="EX394" s="10"/>
      <c r="EY394" s="10"/>
      <c r="EZ394" s="10"/>
      <c r="FA394" s="10"/>
      <c r="FB394" s="10"/>
      <c r="FC394" s="10"/>
      <c r="FD394" s="10"/>
      <c r="FE394" s="10"/>
      <c r="FF394" s="10"/>
      <c r="FG394" s="10"/>
      <c r="FH394" s="10"/>
      <c r="FI394" s="10"/>
      <c r="FJ394" s="10"/>
      <c r="FK394" s="10"/>
      <c r="FL394" s="10"/>
      <c r="FM394" s="10"/>
      <c r="FN394" s="10"/>
      <c r="FO394" s="10"/>
      <c r="FP394" s="10"/>
    </row>
    <row r="395" spans="1:172" s="56" customFormat="1" ht="15" customHeight="1" x14ac:dyDescent="0.2">
      <c r="A395" s="14" t="s">
        <v>739</v>
      </c>
      <c r="B395" s="9">
        <v>198</v>
      </c>
      <c r="C395" s="9">
        <v>202</v>
      </c>
      <c r="D395" s="13">
        <v>200</v>
      </c>
      <c r="E395" s="9">
        <v>30.2</v>
      </c>
      <c r="F395" s="9">
        <v>7.5</v>
      </c>
      <c r="G395" s="34">
        <v>23</v>
      </c>
      <c r="H395" s="9">
        <v>342.2</v>
      </c>
      <c r="I395" s="9">
        <v>40.799999999999997</v>
      </c>
      <c r="J395" s="9">
        <v>59</v>
      </c>
      <c r="K395" s="9">
        <v>4</v>
      </c>
      <c r="L395" s="13">
        <v>-73</v>
      </c>
      <c r="M395" s="13">
        <v>64.7</v>
      </c>
      <c r="N395" s="9">
        <v>55</v>
      </c>
      <c r="O395" s="9">
        <v>4.0999999999999996</v>
      </c>
      <c r="P395" s="9" t="s">
        <v>1203</v>
      </c>
      <c r="Q395" s="9" t="s">
        <v>1203</v>
      </c>
      <c r="R395" s="7">
        <v>707</v>
      </c>
      <c r="S395" s="13">
        <v>-72.396691778871897</v>
      </c>
      <c r="T395" s="13">
        <v>68.813044759293206</v>
      </c>
      <c r="U395" s="9">
        <v>31.250219940610901</v>
      </c>
      <c r="V395" s="9">
        <v>36.930099144381401</v>
      </c>
      <c r="W395" s="9">
        <v>1.41820132763735</v>
      </c>
      <c r="X395" s="7" t="s">
        <v>1202</v>
      </c>
      <c r="Y395" s="7"/>
      <c r="Z395" s="7"/>
      <c r="AA395" s="7" t="b">
        <v>1</v>
      </c>
      <c r="AB395" s="7">
        <v>0</v>
      </c>
      <c r="AC395" s="14" t="s">
        <v>740</v>
      </c>
      <c r="AD395" s="7"/>
      <c r="AE395" s="7" t="s">
        <v>147</v>
      </c>
      <c r="AF395" s="10" t="s">
        <v>1424</v>
      </c>
      <c r="AG395" s="14"/>
      <c r="AH395" s="10"/>
      <c r="AI395" s="10"/>
      <c r="AJ395" s="32"/>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c r="EK395" s="10"/>
      <c r="EL395" s="10"/>
      <c r="EM395" s="10"/>
      <c r="EN395" s="10"/>
      <c r="EO395" s="10"/>
      <c r="EP395" s="10"/>
      <c r="EQ395" s="10"/>
      <c r="ER395" s="10"/>
      <c r="ES395" s="10"/>
      <c r="ET395" s="10"/>
      <c r="EU395" s="10"/>
      <c r="EV395" s="10"/>
      <c r="EW395" s="10"/>
      <c r="EX395" s="10"/>
      <c r="EY395" s="10"/>
      <c r="EZ395" s="10"/>
      <c r="FA395" s="10"/>
      <c r="FB395" s="10"/>
      <c r="FC395" s="10"/>
      <c r="FD395" s="10"/>
      <c r="FE395" s="10"/>
      <c r="FF395" s="10"/>
      <c r="FG395" s="10"/>
      <c r="FH395" s="10"/>
      <c r="FI395" s="10"/>
      <c r="FJ395" s="10"/>
      <c r="FK395" s="10"/>
      <c r="FL395" s="10"/>
      <c r="FM395" s="10"/>
      <c r="FN395" s="10"/>
      <c r="FO395" s="10"/>
      <c r="FP395" s="10"/>
    </row>
    <row r="396" spans="1:172" s="75" customFormat="1" ht="15" customHeight="1" x14ac:dyDescent="0.2">
      <c r="A396" s="49" t="s">
        <v>750</v>
      </c>
      <c r="B396" s="54">
        <v>199</v>
      </c>
      <c r="C396" s="54">
        <v>203</v>
      </c>
      <c r="D396" s="55">
        <v>201</v>
      </c>
      <c r="E396" s="54">
        <v>30.7</v>
      </c>
      <c r="F396" s="54">
        <v>-9.18</v>
      </c>
      <c r="G396" s="53">
        <v>13</v>
      </c>
      <c r="H396" s="54">
        <v>333.2</v>
      </c>
      <c r="I396" s="54">
        <v>49.2</v>
      </c>
      <c r="J396" s="54">
        <v>8.5</v>
      </c>
      <c r="K396" s="54">
        <v>15.1</v>
      </c>
      <c r="L396" s="55">
        <v>-68.5</v>
      </c>
      <c r="M396" s="55">
        <v>44.7</v>
      </c>
      <c r="N396" s="54">
        <v>2.62</v>
      </c>
      <c r="O396" s="54">
        <v>32.299999999999997</v>
      </c>
      <c r="P396" s="54" t="s">
        <v>1203</v>
      </c>
      <c r="Q396" s="54" t="s">
        <v>1203</v>
      </c>
      <c r="R396" s="52">
        <v>707</v>
      </c>
      <c r="S396" s="55">
        <v>-68.296739441206398</v>
      </c>
      <c r="T396" s="55">
        <v>48.4548999730413</v>
      </c>
      <c r="U396" s="54">
        <v>31.250219940610901</v>
      </c>
      <c r="V396" s="54">
        <v>36.930099144381401</v>
      </c>
      <c r="W396" s="54">
        <v>1.41820132763735</v>
      </c>
      <c r="X396" s="52" t="s">
        <v>1202</v>
      </c>
      <c r="Y396" s="52"/>
      <c r="Z396" s="52"/>
      <c r="AA396" s="52" t="b">
        <v>0</v>
      </c>
      <c r="AB396" s="52">
        <v>0</v>
      </c>
      <c r="AC396" s="49" t="s">
        <v>754</v>
      </c>
      <c r="AD396" s="52"/>
      <c r="AE396" s="52" t="s">
        <v>1369</v>
      </c>
      <c r="AF396" s="56" t="s">
        <v>1212</v>
      </c>
      <c r="AG396" s="49"/>
      <c r="AH396" s="56"/>
      <c r="AI396" s="39"/>
      <c r="AJ396" s="32"/>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c r="EG396" s="39"/>
      <c r="EH396" s="39"/>
      <c r="EI396" s="39"/>
      <c r="EJ396" s="39"/>
      <c r="EK396" s="39"/>
      <c r="EL396" s="39"/>
      <c r="EM396" s="39"/>
      <c r="EN396" s="39"/>
      <c r="EO396" s="39"/>
      <c r="EP396" s="39"/>
      <c r="EQ396" s="39"/>
      <c r="ER396" s="39"/>
      <c r="ES396" s="39"/>
      <c r="ET396" s="39"/>
      <c r="EU396" s="39"/>
      <c r="EV396" s="39"/>
      <c r="EW396" s="39"/>
      <c r="EX396" s="39"/>
      <c r="EY396" s="39"/>
      <c r="EZ396" s="39"/>
      <c r="FA396" s="39"/>
      <c r="FB396" s="39"/>
      <c r="FC396" s="39"/>
      <c r="FD396" s="39"/>
      <c r="FE396" s="39"/>
      <c r="FF396" s="39"/>
      <c r="FG396" s="39"/>
      <c r="FH396" s="39"/>
      <c r="FI396" s="39"/>
      <c r="FJ396" s="39"/>
      <c r="FK396" s="39"/>
      <c r="FL396" s="39"/>
      <c r="FM396" s="39"/>
      <c r="FN396" s="39"/>
      <c r="FO396" s="39"/>
      <c r="FP396" s="39"/>
    </row>
    <row r="397" spans="1:172" s="57" customFormat="1" ht="13.5" customHeight="1" x14ac:dyDescent="0.2">
      <c r="A397" s="10" t="s">
        <v>748</v>
      </c>
      <c r="B397" s="9">
        <v>199</v>
      </c>
      <c r="C397" s="9">
        <v>203</v>
      </c>
      <c r="D397" s="13">
        <v>201</v>
      </c>
      <c r="E397" s="9">
        <v>32</v>
      </c>
      <c r="F397" s="9">
        <v>352.5</v>
      </c>
      <c r="G397" s="34">
        <v>27</v>
      </c>
      <c r="H397" s="9">
        <v>346.5</v>
      </c>
      <c r="I397" s="9">
        <v>32</v>
      </c>
      <c r="J397" s="9">
        <v>21.1</v>
      </c>
      <c r="K397" s="9">
        <v>6.2</v>
      </c>
      <c r="L397" s="13">
        <v>-71</v>
      </c>
      <c r="M397" s="13">
        <v>36</v>
      </c>
      <c r="N397" s="9">
        <v>16.7</v>
      </c>
      <c r="O397" s="9">
        <v>7</v>
      </c>
      <c r="P397" s="9" t="s">
        <v>1203</v>
      </c>
      <c r="Q397" s="9" t="s">
        <v>1203</v>
      </c>
      <c r="R397" s="7">
        <v>707</v>
      </c>
      <c r="S397" s="13">
        <v>-70.974658516150896</v>
      </c>
      <c r="T397" s="13">
        <v>40.254286057589397</v>
      </c>
      <c r="U397" s="9">
        <v>31.250219940610901</v>
      </c>
      <c r="V397" s="9">
        <v>36.930099144381401</v>
      </c>
      <c r="W397" s="9">
        <v>1.41820132763735</v>
      </c>
      <c r="X397" s="7" t="s">
        <v>1202</v>
      </c>
      <c r="Y397" s="7"/>
      <c r="Z397" s="7"/>
      <c r="AA397" s="7" t="b">
        <v>1</v>
      </c>
      <c r="AB397" s="7">
        <v>0</v>
      </c>
      <c r="AC397" s="14" t="s">
        <v>633</v>
      </c>
      <c r="AD397" s="7">
        <v>148</v>
      </c>
      <c r="AE397" s="7" t="s">
        <v>147</v>
      </c>
      <c r="AF397" s="10" t="s">
        <v>749</v>
      </c>
      <c r="AG397" s="14"/>
      <c r="AH397" s="10"/>
      <c r="AI397"/>
      <c r="AJ397" s="32"/>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row>
    <row r="398" spans="1:172" s="69" customFormat="1" ht="14" customHeight="1" x14ac:dyDescent="0.2">
      <c r="A398" s="10" t="s">
        <v>750</v>
      </c>
      <c r="B398" s="9">
        <v>199</v>
      </c>
      <c r="C398" s="9">
        <v>203</v>
      </c>
      <c r="D398" s="13">
        <v>201</v>
      </c>
      <c r="E398" s="9">
        <v>31.2</v>
      </c>
      <c r="F398" s="9">
        <v>7.3</v>
      </c>
      <c r="G398" s="34">
        <v>5</v>
      </c>
      <c r="H398" s="9">
        <v>345.4</v>
      </c>
      <c r="I398" s="9">
        <v>37</v>
      </c>
      <c r="J398" s="9"/>
      <c r="K398" s="9"/>
      <c r="L398" s="13">
        <v>-73</v>
      </c>
      <c r="M398" s="13">
        <v>61.3</v>
      </c>
      <c r="N398" s="9">
        <v>16.899999999999999</v>
      </c>
      <c r="O398" s="9">
        <v>19.100000000000001</v>
      </c>
      <c r="P398" s="9" t="s">
        <v>1203</v>
      </c>
      <c r="Q398" s="9" t="s">
        <v>1203</v>
      </c>
      <c r="R398" s="7">
        <v>707</v>
      </c>
      <c r="S398" s="13">
        <v>-72.459065971410993</v>
      </c>
      <c r="T398" s="13">
        <v>65.526935000702906</v>
      </c>
      <c r="U398" s="9">
        <v>31.250219940610901</v>
      </c>
      <c r="V398" s="9">
        <v>36.930099144381401</v>
      </c>
      <c r="W398" s="9">
        <v>1.41820132763735</v>
      </c>
      <c r="X398" s="7" t="s">
        <v>1202</v>
      </c>
      <c r="Y398" s="7"/>
      <c r="Z398" s="7"/>
      <c r="AA398" s="7" t="b">
        <v>1</v>
      </c>
      <c r="AB398" s="7">
        <v>0</v>
      </c>
      <c r="AC398" s="14" t="s">
        <v>751</v>
      </c>
      <c r="AD398" s="7"/>
      <c r="AE398" s="7" t="s">
        <v>147</v>
      </c>
      <c r="AF398" s="10" t="s">
        <v>749</v>
      </c>
      <c r="AG398" s="14" t="s">
        <v>1280</v>
      </c>
      <c r="AH398" s="10" t="s">
        <v>752</v>
      </c>
      <c r="AI398" s="12"/>
      <c r="AJ398" s="3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c r="DK398" s="12"/>
      <c r="DL398" s="12"/>
      <c r="DM398" s="12"/>
      <c r="DN398" s="12"/>
      <c r="DO398" s="12"/>
      <c r="DP398" s="12"/>
      <c r="DQ398" s="12"/>
      <c r="DR398" s="12"/>
      <c r="DS398" s="12"/>
      <c r="DT398" s="12"/>
      <c r="DU398" s="12"/>
      <c r="DV398" s="12"/>
      <c r="DW398" s="12"/>
      <c r="DX398" s="12"/>
      <c r="DY398" s="12"/>
      <c r="DZ398" s="12"/>
      <c r="EA398" s="12"/>
      <c r="EB398" s="12"/>
      <c r="EC398" s="12"/>
      <c r="ED398" s="12"/>
      <c r="EE398" s="12"/>
      <c r="EF398" s="12"/>
      <c r="EG398" s="12"/>
      <c r="EH398" s="12"/>
      <c r="EI398" s="12"/>
      <c r="EJ398" s="12"/>
      <c r="EK398" s="12"/>
      <c r="EL398" s="12"/>
      <c r="EM398" s="12"/>
      <c r="EN398" s="12"/>
      <c r="EO398" s="12"/>
      <c r="EP398" s="12"/>
      <c r="EQ398" s="12"/>
      <c r="ER398" s="12"/>
      <c r="ES398" s="12"/>
      <c r="ET398" s="12"/>
      <c r="EU398" s="12"/>
      <c r="EV398" s="12"/>
      <c r="EW398" s="12"/>
      <c r="EX398" s="12"/>
      <c r="EY398" s="12"/>
      <c r="EZ398" s="12"/>
      <c r="FA398" s="12"/>
      <c r="FB398" s="12"/>
      <c r="FC398" s="12"/>
      <c r="FD398" s="12"/>
      <c r="FE398" s="12"/>
      <c r="FF398" s="12"/>
      <c r="FG398" s="12"/>
      <c r="FH398" s="12"/>
      <c r="FI398" s="12"/>
      <c r="FJ398" s="12"/>
      <c r="FK398" s="12"/>
      <c r="FL398" s="12"/>
      <c r="FM398" s="12"/>
      <c r="FN398" s="12"/>
      <c r="FO398" s="12"/>
      <c r="FP398" s="12"/>
    </row>
    <row r="399" spans="1:172" s="69" customFormat="1" ht="14" customHeight="1" x14ac:dyDescent="0.2">
      <c r="A399" s="10" t="s">
        <v>745</v>
      </c>
      <c r="B399" s="9">
        <v>199</v>
      </c>
      <c r="C399" s="9">
        <v>203</v>
      </c>
      <c r="D399" s="13">
        <v>201</v>
      </c>
      <c r="E399" s="9">
        <v>30.7</v>
      </c>
      <c r="F399" s="9">
        <f>360-9.25</f>
        <v>350.75</v>
      </c>
      <c r="G399" s="34">
        <v>13</v>
      </c>
      <c r="H399" s="9">
        <v>340.1</v>
      </c>
      <c r="I399" s="9">
        <v>36.200000000000003</v>
      </c>
      <c r="J399" s="9">
        <v>49</v>
      </c>
      <c r="K399" s="9">
        <v>6</v>
      </c>
      <c r="L399" s="13">
        <v>-69.2</v>
      </c>
      <c r="M399" s="13">
        <v>55.5</v>
      </c>
      <c r="N399" s="9">
        <v>48</v>
      </c>
      <c r="O399" s="9">
        <v>6</v>
      </c>
      <c r="P399" s="9" t="s">
        <v>1203</v>
      </c>
      <c r="Q399" s="9" t="s">
        <v>1203</v>
      </c>
      <c r="R399" s="7">
        <v>707</v>
      </c>
      <c r="S399" s="13">
        <v>-68.776887477649495</v>
      </c>
      <c r="T399" s="13">
        <v>59.194467488592998</v>
      </c>
      <c r="U399" s="9">
        <v>31.250219940610901</v>
      </c>
      <c r="V399" s="9">
        <v>36.930099144381401</v>
      </c>
      <c r="W399" s="9">
        <v>1.41820132763735</v>
      </c>
      <c r="X399" s="7" t="s">
        <v>1202</v>
      </c>
      <c r="Y399" s="7"/>
      <c r="Z399" s="7"/>
      <c r="AA399" s="7" t="b">
        <v>1</v>
      </c>
      <c r="AB399" s="7">
        <v>0</v>
      </c>
      <c r="AC399" s="10" t="s">
        <v>746</v>
      </c>
      <c r="AD399" s="7"/>
      <c r="AE399" s="7" t="s">
        <v>147</v>
      </c>
      <c r="AF399" s="10" t="s">
        <v>747</v>
      </c>
      <c r="AG399" s="14"/>
      <c r="AH399" s="10"/>
      <c r="AI399" s="12"/>
      <c r="AJ399" s="3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c r="DK399" s="12"/>
      <c r="DL399" s="12"/>
      <c r="DM399" s="12"/>
      <c r="DN399" s="12"/>
      <c r="DO399" s="12"/>
      <c r="DP399" s="12"/>
      <c r="DQ399" s="12"/>
      <c r="DR399" s="12"/>
      <c r="DS399" s="12"/>
      <c r="DT399" s="12"/>
      <c r="DU399" s="12"/>
      <c r="DV399" s="12"/>
      <c r="DW399" s="12"/>
      <c r="DX399" s="12"/>
      <c r="DY399" s="12"/>
      <c r="DZ399" s="12"/>
      <c r="EA399" s="12"/>
      <c r="EB399" s="12"/>
      <c r="EC399" s="12"/>
      <c r="ED399" s="12"/>
      <c r="EE399" s="12"/>
      <c r="EF399" s="12"/>
      <c r="EG399" s="12"/>
      <c r="EH399" s="12"/>
      <c r="EI399" s="12"/>
      <c r="EJ399" s="12"/>
      <c r="EK399" s="12"/>
      <c r="EL399" s="12"/>
      <c r="EM399" s="12"/>
      <c r="EN399" s="12"/>
      <c r="EO399" s="12"/>
      <c r="EP399" s="12"/>
      <c r="EQ399" s="12"/>
      <c r="ER399" s="12"/>
      <c r="ES399" s="12"/>
      <c r="ET399" s="12"/>
      <c r="EU399" s="12"/>
      <c r="EV399" s="12"/>
      <c r="EW399" s="12"/>
      <c r="EX399" s="12"/>
      <c r="EY399" s="12"/>
      <c r="EZ399" s="12"/>
      <c r="FA399" s="12"/>
      <c r="FB399" s="12"/>
      <c r="FC399" s="12"/>
      <c r="FD399" s="12"/>
      <c r="FE399" s="12"/>
      <c r="FF399" s="12"/>
      <c r="FG399" s="12"/>
      <c r="FH399" s="12"/>
      <c r="FI399" s="12"/>
      <c r="FJ399" s="12"/>
      <c r="FK399" s="12"/>
      <c r="FL399" s="12"/>
      <c r="FM399" s="12"/>
      <c r="FN399" s="12"/>
      <c r="FO399" s="12"/>
      <c r="FP399" s="12"/>
    </row>
    <row r="400" spans="1:172" s="69" customFormat="1" ht="14" customHeight="1" x14ac:dyDescent="0.2">
      <c r="A400" s="10" t="s">
        <v>750</v>
      </c>
      <c r="B400" s="9">
        <v>199</v>
      </c>
      <c r="C400" s="9">
        <v>203</v>
      </c>
      <c r="D400" s="13">
        <v>201</v>
      </c>
      <c r="E400" s="9">
        <v>31.4</v>
      </c>
      <c r="F400" s="9">
        <v>7.5</v>
      </c>
      <c r="G400" s="34">
        <v>99</v>
      </c>
      <c r="H400" s="9">
        <v>333.5</v>
      </c>
      <c r="I400" s="9">
        <v>27</v>
      </c>
      <c r="J400" s="7">
        <v>23.2</v>
      </c>
      <c r="K400" s="9">
        <v>3</v>
      </c>
      <c r="L400" s="13">
        <v>-60</v>
      </c>
      <c r="M400" s="13">
        <v>61.6</v>
      </c>
      <c r="N400" s="9">
        <v>31.4</v>
      </c>
      <c r="O400" s="9">
        <v>2.6</v>
      </c>
      <c r="P400" s="9" t="s">
        <v>1203</v>
      </c>
      <c r="Q400" s="9" t="s">
        <v>1203</v>
      </c>
      <c r="R400" s="7">
        <v>707</v>
      </c>
      <c r="S400" s="13">
        <v>-59.4689575216766</v>
      </c>
      <c r="T400" s="13">
        <v>64.203771011820095</v>
      </c>
      <c r="U400" s="9">
        <v>31.250219940610901</v>
      </c>
      <c r="V400" s="9">
        <v>36.930099144381401</v>
      </c>
      <c r="W400" s="9">
        <v>1.41820132763735</v>
      </c>
      <c r="X400" s="7" t="s">
        <v>1202</v>
      </c>
      <c r="Y400" s="7"/>
      <c r="Z400" s="7"/>
      <c r="AA400" s="7" t="b">
        <v>1</v>
      </c>
      <c r="AB400" s="7">
        <v>0</v>
      </c>
      <c r="AC400" s="10" t="s">
        <v>753</v>
      </c>
      <c r="AD400" s="7"/>
      <c r="AE400" s="7" t="s">
        <v>1369</v>
      </c>
      <c r="AF400" s="10" t="s">
        <v>1212</v>
      </c>
      <c r="AG400" s="42"/>
      <c r="AH400" s="10"/>
      <c r="AI400" s="12"/>
      <c r="AJ400" s="3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c r="DK400" s="12"/>
      <c r="DL400" s="12"/>
      <c r="DM400" s="12"/>
      <c r="DN400" s="12"/>
      <c r="DO400" s="12"/>
      <c r="DP400" s="12"/>
      <c r="DQ400" s="12"/>
      <c r="DR400" s="12"/>
      <c r="DS400" s="12"/>
      <c r="DT400" s="12"/>
      <c r="DU400" s="12"/>
      <c r="DV400" s="12"/>
      <c r="DW400" s="12"/>
      <c r="DX400" s="12"/>
      <c r="DY400" s="12"/>
      <c r="DZ400" s="12"/>
      <c r="EA400" s="12"/>
      <c r="EB400" s="12"/>
      <c r="EC400" s="12"/>
      <c r="ED400" s="12"/>
      <c r="EE400" s="12"/>
      <c r="EF400" s="12"/>
      <c r="EG400" s="12"/>
      <c r="EH400" s="12"/>
      <c r="EI400" s="12"/>
      <c r="EJ400" s="12"/>
      <c r="EK400" s="12"/>
      <c r="EL400" s="12"/>
      <c r="EM400" s="12"/>
      <c r="EN400" s="12"/>
      <c r="EO400" s="12"/>
      <c r="EP400" s="12"/>
      <c r="EQ400" s="12"/>
      <c r="ER400" s="12"/>
      <c r="ES400" s="12"/>
      <c r="ET400" s="12"/>
      <c r="EU400" s="12"/>
      <c r="EV400" s="12"/>
      <c r="EW400" s="12"/>
      <c r="EX400" s="12"/>
      <c r="EY400" s="12"/>
      <c r="EZ400" s="12"/>
      <c r="FA400" s="12"/>
      <c r="FB400" s="12"/>
      <c r="FC400" s="12"/>
      <c r="FD400" s="12"/>
      <c r="FE400" s="12"/>
      <c r="FF400" s="12"/>
      <c r="FG400" s="12"/>
      <c r="FH400" s="12"/>
      <c r="FI400" s="12"/>
      <c r="FJ400" s="12"/>
      <c r="FK400" s="12"/>
      <c r="FL400" s="12"/>
      <c r="FM400" s="12"/>
      <c r="FN400" s="12"/>
      <c r="FO400" s="12"/>
      <c r="FP400" s="12"/>
    </row>
    <row r="401" spans="1:172" s="69" customFormat="1" ht="14" customHeight="1" x14ac:dyDescent="0.2">
      <c r="A401" s="49" t="s">
        <v>898</v>
      </c>
      <c r="B401" s="54">
        <v>252</v>
      </c>
      <c r="C401" s="54">
        <v>267</v>
      </c>
      <c r="D401" s="55">
        <v>259.5</v>
      </c>
      <c r="E401" s="54">
        <v>30.7</v>
      </c>
      <c r="F401" s="54">
        <v>9.1</v>
      </c>
      <c r="G401" s="53">
        <v>14</v>
      </c>
      <c r="H401" s="54"/>
      <c r="I401" s="54"/>
      <c r="J401" s="54"/>
      <c r="K401" s="54"/>
      <c r="L401" s="55">
        <v>-48.8</v>
      </c>
      <c r="M401" s="55">
        <v>66.3</v>
      </c>
      <c r="N401" s="54">
        <v>16.899999999999999</v>
      </c>
      <c r="O401" s="54">
        <v>7.2</v>
      </c>
      <c r="P401" s="54" t="s">
        <v>1203</v>
      </c>
      <c r="Q401" s="54" t="s">
        <v>1203</v>
      </c>
      <c r="R401" s="52">
        <v>707</v>
      </c>
      <c r="S401" s="55">
        <v>-48.187716265272002</v>
      </c>
      <c r="T401" s="55">
        <v>68.218411096964601</v>
      </c>
      <c r="U401" s="54">
        <v>31.250219940610901</v>
      </c>
      <c r="V401" s="54">
        <v>36.930099144381401</v>
      </c>
      <c r="W401" s="54">
        <v>1.41820132763735</v>
      </c>
      <c r="X401" s="52" t="s">
        <v>1204</v>
      </c>
      <c r="Y401" s="52">
        <v>0.48</v>
      </c>
      <c r="Z401" s="52"/>
      <c r="AA401" s="52" t="s">
        <v>211</v>
      </c>
      <c r="AB401" s="52" t="s">
        <v>211</v>
      </c>
      <c r="AC401" s="49" t="s">
        <v>899</v>
      </c>
      <c r="AD401" s="52"/>
      <c r="AE401" s="52" t="s">
        <v>1369</v>
      </c>
      <c r="AF401" s="56" t="s">
        <v>901</v>
      </c>
      <c r="AG401" s="49" t="s">
        <v>1403</v>
      </c>
      <c r="AH401" s="56" t="s">
        <v>900</v>
      </c>
      <c r="AI401" s="12"/>
      <c r="AJ401" s="3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c r="DK401" s="12"/>
      <c r="DL401" s="12"/>
      <c r="DM401" s="12"/>
      <c r="DN401" s="12"/>
      <c r="DO401" s="12"/>
      <c r="DP401" s="12"/>
      <c r="DQ401" s="12"/>
      <c r="DR401" s="12"/>
      <c r="DS401" s="12"/>
      <c r="DT401" s="12"/>
      <c r="DU401" s="12"/>
      <c r="DV401" s="12"/>
      <c r="DW401" s="12"/>
      <c r="DX401" s="12"/>
      <c r="DY401" s="12"/>
      <c r="DZ401" s="12"/>
      <c r="EA401" s="12"/>
      <c r="EB401" s="12"/>
      <c r="EC401" s="12"/>
      <c r="ED401" s="12"/>
      <c r="EE401" s="12"/>
      <c r="EF401" s="12"/>
      <c r="EG401" s="12"/>
      <c r="EH401" s="12"/>
      <c r="EI401" s="12"/>
      <c r="EJ401" s="12"/>
      <c r="EK401" s="12"/>
      <c r="EL401" s="12"/>
      <c r="EM401" s="12"/>
      <c r="EN401" s="12"/>
      <c r="EO401" s="12"/>
      <c r="EP401" s="12"/>
      <c r="EQ401" s="12"/>
      <c r="ER401" s="12"/>
      <c r="ES401" s="12"/>
      <c r="ET401" s="12"/>
      <c r="EU401" s="12"/>
      <c r="EV401" s="12"/>
      <c r="EW401" s="12"/>
      <c r="EX401" s="12"/>
      <c r="EY401" s="12"/>
      <c r="EZ401" s="12"/>
      <c r="FA401" s="12"/>
      <c r="FB401" s="12"/>
      <c r="FC401" s="12"/>
      <c r="FD401" s="12"/>
      <c r="FE401" s="12"/>
      <c r="FF401" s="12"/>
      <c r="FG401" s="12"/>
      <c r="FH401" s="12"/>
      <c r="FI401" s="12"/>
      <c r="FJ401" s="12"/>
      <c r="FK401" s="12"/>
      <c r="FL401" s="12"/>
      <c r="FM401" s="12"/>
      <c r="FN401" s="12"/>
      <c r="FO401" s="12"/>
      <c r="FP401" s="12"/>
    </row>
    <row r="402" spans="1:172" s="69" customFormat="1" ht="14" customHeight="1" x14ac:dyDescent="0.2">
      <c r="A402" s="14" t="s">
        <v>1005</v>
      </c>
      <c r="B402" s="9">
        <v>277</v>
      </c>
      <c r="C402" s="9">
        <v>294.60000000000002</v>
      </c>
      <c r="D402" s="13">
        <v>285.8</v>
      </c>
      <c r="E402" s="9">
        <v>32.979999999999997</v>
      </c>
      <c r="F402" s="9">
        <f>360-6.4</f>
        <v>353.6</v>
      </c>
      <c r="G402" s="34">
        <v>18</v>
      </c>
      <c r="H402" s="9"/>
      <c r="I402" s="9"/>
      <c r="J402" s="9"/>
      <c r="K402" s="9"/>
      <c r="L402" s="13">
        <v>-41.4</v>
      </c>
      <c r="M402" s="13">
        <v>52.1</v>
      </c>
      <c r="N402" s="9">
        <v>27.1</v>
      </c>
      <c r="O402" s="9">
        <v>6.8</v>
      </c>
      <c r="P402" s="9" t="s">
        <v>1203</v>
      </c>
      <c r="Q402" s="9" t="s">
        <v>1203</v>
      </c>
      <c r="R402" s="7">
        <v>707</v>
      </c>
      <c r="S402" s="13">
        <v>-41.064800758008403</v>
      </c>
      <c r="T402" s="13">
        <v>53.857007517421003</v>
      </c>
      <c r="U402" s="9">
        <v>31.250219940610901</v>
      </c>
      <c r="V402" s="9">
        <v>36.930099144381401</v>
      </c>
      <c r="W402" s="9">
        <v>1.41820132763735</v>
      </c>
      <c r="X402" s="7" t="s">
        <v>1202</v>
      </c>
      <c r="Y402" s="10"/>
      <c r="Z402" s="10"/>
      <c r="AA402" s="7" t="b">
        <v>1</v>
      </c>
      <c r="AB402" s="7">
        <v>0</v>
      </c>
      <c r="AC402" s="14" t="s">
        <v>1465</v>
      </c>
      <c r="AD402" s="7"/>
      <c r="AE402" s="7" t="s">
        <v>1369</v>
      </c>
      <c r="AF402" s="10" t="s">
        <v>1224</v>
      </c>
      <c r="AG402" s="14" t="s">
        <v>1239</v>
      </c>
      <c r="AH402" s="10" t="s">
        <v>1371</v>
      </c>
      <c r="AI402" s="12"/>
      <c r="AJ402" s="3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c r="DK402" s="12"/>
      <c r="DL402" s="12"/>
      <c r="DM402" s="12"/>
      <c r="DN402" s="12"/>
      <c r="DO402" s="12"/>
      <c r="DP402" s="12"/>
      <c r="DQ402" s="12"/>
      <c r="DR402" s="12"/>
      <c r="DS402" s="12"/>
      <c r="DT402" s="12"/>
      <c r="DU402" s="12"/>
      <c r="DV402" s="12"/>
      <c r="DW402" s="12"/>
      <c r="DX402" s="12"/>
      <c r="DY402" s="12"/>
      <c r="DZ402" s="12"/>
      <c r="EA402" s="12"/>
      <c r="EB402" s="12"/>
      <c r="EC402" s="12"/>
      <c r="ED402" s="12"/>
      <c r="EE402" s="12"/>
      <c r="EF402" s="12"/>
      <c r="EG402" s="12"/>
      <c r="EH402" s="12"/>
      <c r="EI402" s="12"/>
      <c r="EJ402" s="12"/>
      <c r="EK402" s="12"/>
      <c r="EL402" s="12"/>
      <c r="EM402" s="12"/>
      <c r="EN402" s="12"/>
      <c r="EO402" s="12"/>
      <c r="EP402" s="12"/>
      <c r="EQ402" s="12"/>
      <c r="ER402" s="12"/>
      <c r="ES402" s="12"/>
      <c r="ET402" s="12"/>
      <c r="EU402" s="12"/>
      <c r="EV402" s="12"/>
      <c r="EW402" s="12"/>
      <c r="EX402" s="12"/>
      <c r="EY402" s="12"/>
      <c r="EZ402" s="12"/>
      <c r="FA402" s="12"/>
      <c r="FB402" s="12"/>
      <c r="FC402" s="12"/>
      <c r="FD402" s="12"/>
      <c r="FE402" s="12"/>
      <c r="FF402" s="12"/>
      <c r="FG402" s="12"/>
      <c r="FH402" s="12"/>
      <c r="FI402" s="12"/>
      <c r="FJ402" s="12"/>
      <c r="FK402" s="12"/>
      <c r="FL402" s="12"/>
      <c r="FM402" s="12"/>
      <c r="FN402" s="12"/>
      <c r="FO402" s="12"/>
      <c r="FP402" s="12"/>
    </row>
    <row r="403" spans="1:172" s="69" customFormat="1" ht="14" customHeight="1" x14ac:dyDescent="0.2">
      <c r="A403" s="56" t="s">
        <v>1022</v>
      </c>
      <c r="B403" s="52">
        <v>274.39999999999998</v>
      </c>
      <c r="C403" s="52">
        <v>298.89999999999998</v>
      </c>
      <c r="D403" s="55">
        <f>(B403+C403)/2</f>
        <v>286.64999999999998</v>
      </c>
      <c r="E403" s="54">
        <v>32.200000000000003</v>
      </c>
      <c r="F403" s="54">
        <v>354</v>
      </c>
      <c r="G403" s="58">
        <v>12</v>
      </c>
      <c r="H403" s="54">
        <v>136</v>
      </c>
      <c r="I403" s="54">
        <v>-5</v>
      </c>
      <c r="J403" s="54">
        <v>80</v>
      </c>
      <c r="K403" s="54">
        <v>4.5999999999999996</v>
      </c>
      <c r="L403" s="55">
        <v>-38.700000000000003</v>
      </c>
      <c r="M403" s="58">
        <v>56.8</v>
      </c>
      <c r="N403" s="52"/>
      <c r="O403" s="52"/>
      <c r="P403" s="54">
        <v>197.95423975494026</v>
      </c>
      <c r="Q403" s="73">
        <v>3.0925463243460607</v>
      </c>
      <c r="R403" s="52">
        <v>707</v>
      </c>
      <c r="S403" s="55">
        <v>-38.271634745492101</v>
      </c>
      <c r="T403" s="55">
        <v>58.437557952506303</v>
      </c>
      <c r="U403" s="54">
        <v>31.250219940610901</v>
      </c>
      <c r="V403" s="54">
        <v>36.930099144381401</v>
      </c>
      <c r="W403" s="54">
        <v>1.41820132763735</v>
      </c>
      <c r="X403" s="52" t="s">
        <v>1202</v>
      </c>
      <c r="Y403" s="56"/>
      <c r="Z403" s="56"/>
      <c r="AA403" s="52" t="b">
        <v>0</v>
      </c>
      <c r="AB403" s="52" t="s">
        <v>31</v>
      </c>
      <c r="AC403" s="49" t="s">
        <v>1448</v>
      </c>
      <c r="AD403" s="52">
        <v>723</v>
      </c>
      <c r="AE403" s="52" t="s">
        <v>147</v>
      </c>
      <c r="AF403" s="56" t="s">
        <v>1024</v>
      </c>
      <c r="AG403" s="49" t="s">
        <v>1023</v>
      </c>
      <c r="AH403" s="49" t="s">
        <v>1361</v>
      </c>
      <c r="AI403" s="12"/>
      <c r="AJ403" s="3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c r="DK403" s="12"/>
      <c r="DL403" s="12"/>
      <c r="DM403" s="12"/>
      <c r="DN403" s="12"/>
      <c r="DO403" s="12"/>
      <c r="DP403" s="12"/>
      <c r="DQ403" s="12"/>
      <c r="DR403" s="12"/>
      <c r="DS403" s="12"/>
      <c r="DT403" s="12"/>
      <c r="DU403" s="12"/>
      <c r="DV403" s="12"/>
      <c r="DW403" s="12"/>
      <c r="DX403" s="12"/>
      <c r="DY403" s="12"/>
      <c r="DZ403" s="12"/>
      <c r="EA403" s="12"/>
      <c r="EB403" s="12"/>
      <c r="EC403" s="12"/>
      <c r="ED403" s="12"/>
      <c r="EE403" s="12"/>
      <c r="EF403" s="12"/>
      <c r="EG403" s="12"/>
      <c r="EH403" s="12"/>
      <c r="EI403" s="12"/>
      <c r="EJ403" s="12"/>
      <c r="EK403" s="12"/>
      <c r="EL403" s="12"/>
      <c r="EM403" s="12"/>
      <c r="EN403" s="12"/>
      <c r="EO403" s="12"/>
      <c r="EP403" s="12"/>
      <c r="EQ403" s="12"/>
      <c r="ER403" s="12"/>
      <c r="ES403" s="12"/>
      <c r="ET403" s="12"/>
      <c r="EU403" s="12"/>
      <c r="EV403" s="12"/>
      <c r="EW403" s="12"/>
      <c r="EX403" s="12"/>
      <c r="EY403" s="12"/>
      <c r="EZ403" s="12"/>
      <c r="FA403" s="12"/>
      <c r="FB403" s="12"/>
      <c r="FC403" s="12"/>
      <c r="FD403" s="12"/>
      <c r="FE403" s="12"/>
      <c r="FF403" s="12"/>
      <c r="FG403" s="12"/>
      <c r="FH403" s="12"/>
      <c r="FI403" s="12"/>
      <c r="FJ403" s="12"/>
      <c r="FK403" s="12"/>
      <c r="FL403" s="12"/>
      <c r="FM403" s="12"/>
      <c r="FN403" s="12"/>
      <c r="FO403" s="12"/>
      <c r="FP403" s="12"/>
    </row>
    <row r="404" spans="1:172" s="74" customFormat="1" ht="15" customHeight="1" x14ac:dyDescent="0.15">
      <c r="A404" s="56" t="s">
        <v>1026</v>
      </c>
      <c r="B404" s="52">
        <v>274.39999999999998</v>
      </c>
      <c r="C404" s="52">
        <v>298.89999999999998</v>
      </c>
      <c r="D404" s="55">
        <f>(B404+C404)/2</f>
        <v>286.64999999999998</v>
      </c>
      <c r="E404" s="54">
        <v>33.5</v>
      </c>
      <c r="F404" s="54">
        <v>353</v>
      </c>
      <c r="G404" s="58">
        <v>11</v>
      </c>
      <c r="H404" s="54">
        <v>120.6</v>
      </c>
      <c r="I404" s="54">
        <v>3.6</v>
      </c>
      <c r="J404" s="54">
        <v>34.6</v>
      </c>
      <c r="K404" s="54">
        <v>7.8</v>
      </c>
      <c r="L404" s="55">
        <v>-24</v>
      </c>
      <c r="M404" s="58">
        <v>63.8</v>
      </c>
      <c r="N404" s="52"/>
      <c r="O404" s="52"/>
      <c r="P404" s="54">
        <v>86.040202192032538</v>
      </c>
      <c r="Q404" s="54">
        <v>4.9501783638365007</v>
      </c>
      <c r="R404" s="52">
        <v>707</v>
      </c>
      <c r="S404" s="55">
        <v>-23.440628736505602</v>
      </c>
      <c r="T404" s="55">
        <v>65.008424901216898</v>
      </c>
      <c r="U404" s="54">
        <v>31.250219940610901</v>
      </c>
      <c r="V404" s="54">
        <v>36.930099144381401</v>
      </c>
      <c r="W404" s="54">
        <v>1.41820132763735</v>
      </c>
      <c r="X404" s="52" t="s">
        <v>1204</v>
      </c>
      <c r="Y404" s="56"/>
      <c r="Z404" s="56"/>
      <c r="AA404" s="52" t="b">
        <v>1</v>
      </c>
      <c r="AB404" s="52" t="s">
        <v>31</v>
      </c>
      <c r="AC404" s="49" t="s">
        <v>1027</v>
      </c>
      <c r="AD404" s="52">
        <v>1080</v>
      </c>
      <c r="AE404" s="52" t="s">
        <v>147</v>
      </c>
      <c r="AF404" s="56" t="s">
        <v>1024</v>
      </c>
      <c r="AG404" s="49"/>
      <c r="AH404" s="56" t="s">
        <v>1363</v>
      </c>
      <c r="AI404" s="92"/>
      <c r="AJ404" s="32"/>
      <c r="AK404" s="92"/>
      <c r="AL404" s="92"/>
      <c r="AM404" s="92"/>
      <c r="AN404" s="92"/>
      <c r="AO404" s="92"/>
      <c r="AP404" s="92"/>
      <c r="AQ404" s="92"/>
      <c r="AR404" s="92"/>
      <c r="AS404" s="92"/>
      <c r="AT404" s="92"/>
      <c r="AU404" s="92"/>
      <c r="AV404" s="92"/>
      <c r="AW404" s="92"/>
      <c r="AX404" s="92"/>
      <c r="AY404" s="92"/>
      <c r="AZ404" s="92"/>
      <c r="BA404" s="92"/>
      <c r="BB404" s="92"/>
      <c r="BC404" s="92"/>
      <c r="BD404" s="92"/>
      <c r="BE404" s="92"/>
      <c r="BF404" s="92"/>
      <c r="BG404" s="92"/>
      <c r="BH404" s="92"/>
      <c r="BI404" s="92"/>
      <c r="BJ404" s="92"/>
      <c r="BK404" s="92"/>
      <c r="BL404" s="92"/>
      <c r="BM404" s="92"/>
      <c r="BN404" s="92"/>
      <c r="BO404" s="92"/>
      <c r="BP404" s="92"/>
      <c r="BQ404" s="92"/>
      <c r="BR404" s="92"/>
      <c r="BS404" s="92"/>
      <c r="BT404" s="92"/>
      <c r="BU404" s="92"/>
      <c r="BV404" s="92"/>
      <c r="BW404" s="92"/>
      <c r="BX404" s="92"/>
      <c r="BY404" s="92"/>
      <c r="BZ404" s="92"/>
      <c r="CA404" s="92"/>
      <c r="CB404" s="92"/>
      <c r="CC404" s="92"/>
      <c r="CD404" s="92"/>
      <c r="CE404" s="92"/>
      <c r="CF404" s="92"/>
      <c r="CG404" s="92"/>
      <c r="CH404" s="92"/>
      <c r="CI404" s="92"/>
      <c r="CJ404" s="92"/>
      <c r="CK404" s="92"/>
      <c r="CL404" s="92"/>
      <c r="CM404" s="92"/>
      <c r="CN404" s="92"/>
      <c r="CO404" s="92"/>
      <c r="CP404" s="92"/>
      <c r="CQ404" s="92"/>
      <c r="CR404" s="92"/>
      <c r="CS404" s="92"/>
      <c r="CT404" s="92"/>
      <c r="CU404" s="92"/>
      <c r="CV404" s="92"/>
      <c r="CW404" s="92"/>
      <c r="CX404" s="92"/>
      <c r="CY404" s="92"/>
      <c r="CZ404" s="92"/>
      <c r="DA404" s="92"/>
      <c r="DB404" s="92"/>
      <c r="DC404" s="92"/>
      <c r="DD404" s="92"/>
      <c r="DE404" s="92"/>
      <c r="DF404" s="92"/>
      <c r="DG404" s="92"/>
      <c r="DH404" s="92"/>
      <c r="DI404" s="92"/>
      <c r="DJ404" s="92"/>
      <c r="DK404" s="92"/>
      <c r="DL404" s="92"/>
      <c r="DM404" s="92"/>
      <c r="DN404" s="92"/>
      <c r="DO404" s="92"/>
      <c r="DP404" s="92"/>
      <c r="DQ404" s="92"/>
      <c r="DR404" s="92"/>
      <c r="DS404" s="92"/>
      <c r="DT404" s="92"/>
      <c r="DU404" s="92"/>
      <c r="DV404" s="92"/>
      <c r="DW404" s="92"/>
      <c r="DX404" s="92"/>
      <c r="DY404" s="92"/>
      <c r="DZ404" s="92"/>
      <c r="EA404" s="92"/>
      <c r="EB404" s="92"/>
      <c r="EC404" s="92"/>
      <c r="ED404" s="92"/>
      <c r="EE404" s="92"/>
      <c r="EF404" s="92"/>
      <c r="EG404" s="92"/>
      <c r="EH404" s="92"/>
      <c r="EI404" s="92"/>
      <c r="EJ404" s="92"/>
      <c r="EK404" s="92"/>
      <c r="EL404" s="92"/>
      <c r="EM404" s="92"/>
      <c r="EN404" s="92"/>
      <c r="EO404" s="92"/>
      <c r="EP404" s="92"/>
      <c r="EQ404" s="92"/>
      <c r="ER404" s="92"/>
      <c r="ES404" s="92"/>
      <c r="ET404" s="92"/>
      <c r="EU404" s="92"/>
      <c r="EV404" s="92"/>
      <c r="EW404" s="92"/>
      <c r="EX404" s="92"/>
      <c r="EY404" s="92"/>
      <c r="EZ404" s="92"/>
      <c r="FA404" s="92"/>
      <c r="FB404" s="92"/>
      <c r="FC404" s="92"/>
      <c r="FD404" s="92"/>
      <c r="FE404" s="92"/>
      <c r="FF404" s="92"/>
      <c r="FG404" s="92"/>
      <c r="FH404" s="92"/>
      <c r="FI404" s="92"/>
      <c r="FJ404" s="92"/>
      <c r="FK404" s="92"/>
      <c r="FL404" s="92"/>
      <c r="FM404" s="92"/>
      <c r="FN404" s="92"/>
      <c r="FO404" s="92"/>
      <c r="FP404" s="92"/>
    </row>
    <row r="405" spans="1:172" s="74" customFormat="1" ht="15" customHeight="1" x14ac:dyDescent="0.15">
      <c r="A405" s="56" t="s">
        <v>1025</v>
      </c>
      <c r="B405" s="52">
        <v>274.39999999999998</v>
      </c>
      <c r="C405" s="52">
        <v>298.89999999999998</v>
      </c>
      <c r="D405" s="55">
        <f>(B405+C405)/2</f>
        <v>286.64999999999998</v>
      </c>
      <c r="E405" s="54">
        <v>33</v>
      </c>
      <c r="F405" s="54">
        <v>353.7</v>
      </c>
      <c r="G405" s="58">
        <v>45</v>
      </c>
      <c r="H405" s="54">
        <v>127</v>
      </c>
      <c r="I405" s="54">
        <v>-6</v>
      </c>
      <c r="J405" s="54">
        <v>20</v>
      </c>
      <c r="K405" s="54">
        <v>4.7</v>
      </c>
      <c r="L405" s="55">
        <v>-32.200000000000003</v>
      </c>
      <c r="M405" s="58">
        <v>64.099999999999994</v>
      </c>
      <c r="N405" s="52"/>
      <c r="O405" s="52"/>
      <c r="P405" s="54">
        <v>49.265167616130448</v>
      </c>
      <c r="Q405" s="54">
        <v>3.0609188056925056</v>
      </c>
      <c r="R405" s="52">
        <v>707</v>
      </c>
      <c r="S405" s="55">
        <v>-31.633175295290801</v>
      </c>
      <c r="T405" s="55">
        <v>65.503341710937505</v>
      </c>
      <c r="U405" s="54">
        <v>31.250219940610901</v>
      </c>
      <c r="V405" s="54">
        <v>36.930099144381401</v>
      </c>
      <c r="W405" s="54">
        <v>1.41820132763735</v>
      </c>
      <c r="X405" s="52" t="s">
        <v>1204</v>
      </c>
      <c r="Y405" s="56"/>
      <c r="Z405" s="56"/>
      <c r="AA405" s="52" t="b">
        <v>1</v>
      </c>
      <c r="AB405" s="52" t="s">
        <v>165</v>
      </c>
      <c r="AC405" s="49" t="s">
        <v>1448</v>
      </c>
      <c r="AD405" s="52">
        <v>723</v>
      </c>
      <c r="AE405" s="52" t="s">
        <v>147</v>
      </c>
      <c r="AF405" s="56" t="s">
        <v>1024</v>
      </c>
      <c r="AG405" s="49"/>
      <c r="AH405" s="49" t="s">
        <v>1361</v>
      </c>
      <c r="AI405" s="92"/>
      <c r="AJ405" s="32"/>
      <c r="AK405" s="92"/>
      <c r="AL405" s="92"/>
      <c r="AM405" s="92"/>
      <c r="AN405" s="92"/>
      <c r="AO405" s="92"/>
      <c r="AP405" s="92"/>
      <c r="AQ405" s="92"/>
      <c r="AR405" s="92"/>
      <c r="AS405" s="92"/>
      <c r="AT405" s="92"/>
      <c r="AU405" s="92"/>
      <c r="AV405" s="92"/>
      <c r="AW405" s="92"/>
      <c r="AX405" s="92"/>
      <c r="AY405" s="92"/>
      <c r="AZ405" s="92"/>
      <c r="BA405" s="92"/>
      <c r="BB405" s="92"/>
      <c r="BC405" s="92"/>
      <c r="BD405" s="92"/>
      <c r="BE405" s="92"/>
      <c r="BF405" s="92"/>
      <c r="BG405" s="92"/>
      <c r="BH405" s="92"/>
      <c r="BI405" s="92"/>
      <c r="BJ405" s="92"/>
      <c r="BK405" s="92"/>
      <c r="BL405" s="92"/>
      <c r="BM405" s="92"/>
      <c r="BN405" s="92"/>
      <c r="BO405" s="92"/>
      <c r="BP405" s="92"/>
      <c r="BQ405" s="92"/>
      <c r="BR405" s="92"/>
      <c r="BS405" s="92"/>
      <c r="BT405" s="92"/>
      <c r="BU405" s="92"/>
      <c r="BV405" s="92"/>
      <c r="BW405" s="92"/>
      <c r="BX405" s="92"/>
      <c r="BY405" s="92"/>
      <c r="BZ405" s="92"/>
      <c r="CA405" s="92"/>
      <c r="CB405" s="92"/>
      <c r="CC405" s="92"/>
      <c r="CD405" s="92"/>
      <c r="CE405" s="92"/>
      <c r="CF405" s="92"/>
      <c r="CG405" s="92"/>
      <c r="CH405" s="92"/>
      <c r="CI405" s="92"/>
      <c r="CJ405" s="92"/>
      <c r="CK405" s="92"/>
      <c r="CL405" s="92"/>
      <c r="CM405" s="92"/>
      <c r="CN405" s="92"/>
      <c r="CO405" s="92"/>
      <c r="CP405" s="92"/>
      <c r="CQ405" s="92"/>
      <c r="CR405" s="92"/>
      <c r="CS405" s="92"/>
      <c r="CT405" s="92"/>
      <c r="CU405" s="92"/>
      <c r="CV405" s="92"/>
      <c r="CW405" s="92"/>
      <c r="CX405" s="92"/>
      <c r="CY405" s="92"/>
      <c r="CZ405" s="92"/>
      <c r="DA405" s="92"/>
      <c r="DB405" s="92"/>
      <c r="DC405" s="92"/>
      <c r="DD405" s="92"/>
      <c r="DE405" s="92"/>
      <c r="DF405" s="92"/>
      <c r="DG405" s="92"/>
      <c r="DH405" s="92"/>
      <c r="DI405" s="92"/>
      <c r="DJ405" s="92"/>
      <c r="DK405" s="92"/>
      <c r="DL405" s="92"/>
      <c r="DM405" s="92"/>
      <c r="DN405" s="92"/>
      <c r="DO405" s="92"/>
      <c r="DP405" s="92"/>
      <c r="DQ405" s="92"/>
      <c r="DR405" s="92"/>
      <c r="DS405" s="92"/>
      <c r="DT405" s="92"/>
      <c r="DU405" s="92"/>
      <c r="DV405" s="92"/>
      <c r="DW405" s="92"/>
      <c r="DX405" s="92"/>
      <c r="DY405" s="92"/>
      <c r="DZ405" s="92"/>
      <c r="EA405" s="92"/>
      <c r="EB405" s="92"/>
      <c r="EC405" s="92"/>
      <c r="ED405" s="92"/>
      <c r="EE405" s="92"/>
      <c r="EF405" s="92"/>
      <c r="EG405" s="92"/>
      <c r="EH405" s="92"/>
      <c r="EI405" s="92"/>
      <c r="EJ405" s="92"/>
      <c r="EK405" s="92"/>
      <c r="EL405" s="92"/>
      <c r="EM405" s="92"/>
      <c r="EN405" s="92"/>
      <c r="EO405" s="92"/>
      <c r="EP405" s="92"/>
      <c r="EQ405" s="92"/>
      <c r="ER405" s="92"/>
      <c r="ES405" s="92"/>
      <c r="ET405" s="92"/>
      <c r="EU405" s="92"/>
      <c r="EV405" s="92"/>
      <c r="EW405" s="92"/>
      <c r="EX405" s="92"/>
      <c r="EY405" s="92"/>
      <c r="EZ405" s="92"/>
      <c r="FA405" s="92"/>
      <c r="FB405" s="92"/>
      <c r="FC405" s="92"/>
      <c r="FD405" s="92"/>
      <c r="FE405" s="92"/>
      <c r="FF405" s="92"/>
      <c r="FG405" s="92"/>
      <c r="FH405" s="92"/>
      <c r="FI405" s="92"/>
      <c r="FJ405" s="92"/>
      <c r="FK405" s="92"/>
      <c r="FL405" s="92"/>
      <c r="FM405" s="92"/>
      <c r="FN405" s="92"/>
      <c r="FO405" s="92"/>
      <c r="FP405" s="92"/>
    </row>
    <row r="406" spans="1:172" s="74" customFormat="1" ht="15" customHeight="1" x14ac:dyDescent="0.2">
      <c r="A406" s="56" t="s">
        <v>1071</v>
      </c>
      <c r="B406" s="54">
        <v>274.39999999999998</v>
      </c>
      <c r="C406" s="54">
        <v>307</v>
      </c>
      <c r="D406" s="55">
        <f>(B406+C406)/2</f>
        <v>290.7</v>
      </c>
      <c r="E406" s="54">
        <v>32.5</v>
      </c>
      <c r="F406" s="54">
        <v>352.5</v>
      </c>
      <c r="G406" s="53">
        <v>4</v>
      </c>
      <c r="H406" s="54">
        <v>132.9</v>
      </c>
      <c r="I406" s="54">
        <v>-3.1</v>
      </c>
      <c r="J406" s="54">
        <v>20.3</v>
      </c>
      <c r="K406" s="54">
        <v>20.9</v>
      </c>
      <c r="L406" s="55">
        <v>-36</v>
      </c>
      <c r="M406" s="55">
        <v>58</v>
      </c>
      <c r="N406" s="54">
        <v>22.6</v>
      </c>
      <c r="O406" s="54">
        <v>20</v>
      </c>
      <c r="P406" s="71" t="s">
        <v>1203</v>
      </c>
      <c r="Q406" s="71" t="s">
        <v>1203</v>
      </c>
      <c r="R406" s="52">
        <v>707</v>
      </c>
      <c r="S406" s="55">
        <v>-35.548868727952701</v>
      </c>
      <c r="T406" s="55">
        <v>59.546680772534799</v>
      </c>
      <c r="U406" s="54">
        <v>31.250219940610901</v>
      </c>
      <c r="V406" s="54">
        <v>36.930099144381401</v>
      </c>
      <c r="W406" s="54">
        <v>1.41820132763735</v>
      </c>
      <c r="X406" s="52" t="s">
        <v>1202</v>
      </c>
      <c r="Y406" s="56"/>
      <c r="Z406" s="56"/>
      <c r="AA406" s="52" t="b">
        <v>1</v>
      </c>
      <c r="AB406" s="52" t="s">
        <v>31</v>
      </c>
      <c r="AC406" s="49" t="s">
        <v>514</v>
      </c>
      <c r="AD406" s="52">
        <v>1859</v>
      </c>
      <c r="AE406" s="52" t="s">
        <v>147</v>
      </c>
      <c r="AF406" s="56" t="s">
        <v>1072</v>
      </c>
      <c r="AG406" s="49" t="s">
        <v>1321</v>
      </c>
      <c r="AH406" s="49" t="s">
        <v>1361</v>
      </c>
      <c r="AI406" s="92"/>
      <c r="AJ406" s="32"/>
      <c r="AK406" s="92"/>
      <c r="AL406" s="92"/>
      <c r="AM406" s="92"/>
      <c r="AN406" s="92"/>
      <c r="AO406" s="92"/>
      <c r="AP406" s="92"/>
      <c r="AQ406" s="92"/>
      <c r="AR406" s="92"/>
      <c r="AS406" s="92"/>
      <c r="AT406" s="92"/>
      <c r="AU406" s="92"/>
      <c r="AV406" s="92"/>
      <c r="AW406" s="92"/>
      <c r="AX406" s="92"/>
      <c r="AY406" s="92"/>
      <c r="AZ406" s="92"/>
      <c r="BA406" s="92"/>
      <c r="BB406" s="92"/>
      <c r="BC406" s="92"/>
      <c r="BD406" s="92"/>
      <c r="BE406" s="92"/>
      <c r="BF406" s="92"/>
      <c r="BG406" s="92"/>
      <c r="BH406" s="92"/>
      <c r="BI406" s="92"/>
      <c r="BJ406" s="92"/>
      <c r="BK406" s="92"/>
      <c r="BL406" s="92"/>
      <c r="BM406" s="92"/>
      <c r="BN406" s="92"/>
      <c r="BO406" s="92"/>
      <c r="BP406" s="92"/>
      <c r="BQ406" s="92"/>
      <c r="BR406" s="92"/>
      <c r="BS406" s="92"/>
      <c r="BT406" s="92"/>
      <c r="BU406" s="92"/>
      <c r="BV406" s="92"/>
      <c r="BW406" s="92"/>
      <c r="BX406" s="92"/>
      <c r="BY406" s="92"/>
      <c r="BZ406" s="92"/>
      <c r="CA406" s="92"/>
      <c r="CB406" s="92"/>
      <c r="CC406" s="92"/>
      <c r="CD406" s="92"/>
      <c r="CE406" s="92"/>
      <c r="CF406" s="92"/>
      <c r="CG406" s="92"/>
      <c r="CH406" s="92"/>
      <c r="CI406" s="92"/>
      <c r="CJ406" s="92"/>
      <c r="CK406" s="92"/>
      <c r="CL406" s="92"/>
      <c r="CM406" s="92"/>
      <c r="CN406" s="92"/>
      <c r="CO406" s="92"/>
      <c r="CP406" s="92"/>
      <c r="CQ406" s="92"/>
      <c r="CR406" s="92"/>
      <c r="CS406" s="92"/>
      <c r="CT406" s="92"/>
      <c r="CU406" s="92"/>
      <c r="CV406" s="92"/>
      <c r="CW406" s="92"/>
      <c r="CX406" s="92"/>
      <c r="CY406" s="92"/>
      <c r="CZ406" s="92"/>
      <c r="DA406" s="92"/>
      <c r="DB406" s="92"/>
      <c r="DC406" s="92"/>
      <c r="DD406" s="92"/>
      <c r="DE406" s="92"/>
      <c r="DF406" s="92"/>
      <c r="DG406" s="92"/>
      <c r="DH406" s="92"/>
      <c r="DI406" s="92"/>
      <c r="DJ406" s="92"/>
      <c r="DK406" s="92"/>
      <c r="DL406" s="92"/>
      <c r="DM406" s="92"/>
      <c r="DN406" s="92"/>
      <c r="DO406" s="92"/>
      <c r="DP406" s="92"/>
      <c r="DQ406" s="92"/>
      <c r="DR406" s="92"/>
      <c r="DS406" s="92"/>
      <c r="DT406" s="92"/>
      <c r="DU406" s="92"/>
      <c r="DV406" s="92"/>
      <c r="DW406" s="92"/>
      <c r="DX406" s="92"/>
      <c r="DY406" s="92"/>
      <c r="DZ406" s="92"/>
      <c r="EA406" s="92"/>
      <c r="EB406" s="92"/>
      <c r="EC406" s="92"/>
      <c r="ED406" s="92"/>
      <c r="EE406" s="92"/>
      <c r="EF406" s="92"/>
      <c r="EG406" s="92"/>
      <c r="EH406" s="92"/>
      <c r="EI406" s="92"/>
      <c r="EJ406" s="92"/>
      <c r="EK406" s="92"/>
      <c r="EL406" s="92"/>
      <c r="EM406" s="92"/>
      <c r="EN406" s="92"/>
      <c r="EO406" s="92"/>
      <c r="EP406" s="92"/>
      <c r="EQ406" s="92"/>
      <c r="ER406" s="92"/>
      <c r="ES406" s="92"/>
      <c r="ET406" s="92"/>
      <c r="EU406" s="92"/>
      <c r="EV406" s="92"/>
      <c r="EW406" s="92"/>
      <c r="EX406" s="92"/>
      <c r="EY406" s="92"/>
      <c r="EZ406" s="92"/>
      <c r="FA406" s="92"/>
      <c r="FB406" s="92"/>
      <c r="FC406" s="92"/>
      <c r="FD406" s="92"/>
      <c r="FE406" s="92"/>
      <c r="FF406" s="92"/>
      <c r="FG406" s="92"/>
      <c r="FH406" s="92"/>
      <c r="FI406" s="92"/>
      <c r="FJ406" s="92"/>
      <c r="FK406" s="92"/>
      <c r="FL406" s="92"/>
      <c r="FM406" s="92"/>
      <c r="FN406" s="92"/>
      <c r="FO406" s="92"/>
      <c r="FP406" s="92"/>
    </row>
    <row r="407" spans="1:172" s="74" customFormat="1" ht="15" customHeight="1" x14ac:dyDescent="0.15">
      <c r="A407" s="10" t="s">
        <v>45</v>
      </c>
      <c r="B407" s="28">
        <v>8.9999999999999993E-3</v>
      </c>
      <c r="C407" s="28">
        <v>0.09</v>
      </c>
      <c r="D407" s="29">
        <f>AVERAGE(B407,C407)</f>
        <v>4.9499999999999995E-2</v>
      </c>
      <c r="E407" s="7">
        <v>-21.22</v>
      </c>
      <c r="F407" s="7">
        <v>55.66</v>
      </c>
      <c r="G407" s="34">
        <v>23</v>
      </c>
      <c r="H407" s="9"/>
      <c r="I407" s="9"/>
      <c r="J407" s="9"/>
      <c r="K407" s="9"/>
      <c r="L407" s="13">
        <v>-81.206778813805499</v>
      </c>
      <c r="M407" s="13">
        <v>87.175837753601002</v>
      </c>
      <c r="N407" s="9">
        <v>47.9653156448258</v>
      </c>
      <c r="O407" s="9">
        <v>4.4156568058421497</v>
      </c>
      <c r="P407" s="9"/>
      <c r="Q407" s="9"/>
      <c r="R407" s="30">
        <v>709</v>
      </c>
      <c r="S407" s="13">
        <v>-81.204830971858399</v>
      </c>
      <c r="T407" s="13">
        <v>87.175520367059207</v>
      </c>
      <c r="U407" s="9">
        <v>-40.120000000000097</v>
      </c>
      <c r="V407" s="9">
        <v>3.2199999999998399</v>
      </c>
      <c r="W407" s="9">
        <v>2.5614489003880901E-3</v>
      </c>
      <c r="X407" s="7" t="s">
        <v>1202</v>
      </c>
      <c r="Y407" s="10"/>
      <c r="Z407" s="7"/>
      <c r="AA407" s="7" t="b">
        <v>1</v>
      </c>
      <c r="AB407" s="7">
        <v>0</v>
      </c>
      <c r="AC407" s="10" t="s">
        <v>46</v>
      </c>
      <c r="AD407" s="7"/>
      <c r="AE407" s="7" t="s">
        <v>32</v>
      </c>
      <c r="AF407" s="10"/>
      <c r="AG407" s="14"/>
      <c r="AH407" s="10"/>
      <c r="AI407" s="92"/>
      <c r="AJ407" s="32"/>
      <c r="AK407" s="92"/>
      <c r="AL407" s="92"/>
      <c r="AM407" s="92"/>
      <c r="AN407" s="92"/>
      <c r="AO407" s="92"/>
      <c r="AP407" s="92"/>
      <c r="AQ407" s="92"/>
      <c r="AR407" s="92"/>
      <c r="AS407" s="92"/>
      <c r="AT407" s="92"/>
      <c r="AU407" s="92"/>
      <c r="AV407" s="92"/>
      <c r="AW407" s="92"/>
      <c r="AX407" s="92"/>
      <c r="AY407" s="92"/>
      <c r="AZ407" s="92"/>
      <c r="BA407" s="92"/>
      <c r="BB407" s="92"/>
      <c r="BC407" s="92"/>
      <c r="BD407" s="92"/>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c r="CA407" s="92"/>
      <c r="CB407" s="92"/>
      <c r="CC407" s="92"/>
      <c r="CD407" s="92"/>
      <c r="CE407" s="92"/>
      <c r="CF407" s="92"/>
      <c r="CG407" s="92"/>
      <c r="CH407" s="92"/>
      <c r="CI407" s="92"/>
      <c r="CJ407" s="92"/>
      <c r="CK407" s="92"/>
      <c r="CL407" s="92"/>
      <c r="CM407" s="92"/>
      <c r="CN407" s="92"/>
      <c r="CO407" s="92"/>
      <c r="CP407" s="92"/>
      <c r="CQ407" s="92"/>
      <c r="CR407" s="92"/>
      <c r="CS407" s="92"/>
      <c r="CT407" s="92"/>
      <c r="CU407" s="92"/>
      <c r="CV407" s="92"/>
      <c r="CW407" s="92"/>
      <c r="CX407" s="92"/>
      <c r="CY407" s="92"/>
      <c r="CZ407" s="92"/>
      <c r="DA407" s="92"/>
      <c r="DB407" s="92"/>
      <c r="DC407" s="92"/>
      <c r="DD407" s="92"/>
      <c r="DE407" s="92"/>
      <c r="DF407" s="92"/>
      <c r="DG407" s="92"/>
      <c r="DH407" s="92"/>
      <c r="DI407" s="92"/>
      <c r="DJ407" s="92"/>
      <c r="DK407" s="92"/>
      <c r="DL407" s="92"/>
      <c r="DM407" s="92"/>
      <c r="DN407" s="92"/>
      <c r="DO407" s="92"/>
      <c r="DP407" s="92"/>
      <c r="DQ407" s="92"/>
      <c r="DR407" s="92"/>
      <c r="DS407" s="92"/>
      <c r="DT407" s="92"/>
      <c r="DU407" s="92"/>
      <c r="DV407" s="92"/>
      <c r="DW407" s="92"/>
      <c r="DX407" s="92"/>
      <c r="DY407" s="92"/>
      <c r="DZ407" s="92"/>
      <c r="EA407" s="92"/>
      <c r="EB407" s="92"/>
      <c r="EC407" s="92"/>
      <c r="ED407" s="92"/>
      <c r="EE407" s="92"/>
      <c r="EF407" s="92"/>
      <c r="EG407" s="92"/>
      <c r="EH407" s="92"/>
      <c r="EI407" s="92"/>
      <c r="EJ407" s="92"/>
      <c r="EK407" s="92"/>
      <c r="EL407" s="92"/>
      <c r="EM407" s="92"/>
      <c r="EN407" s="92"/>
      <c r="EO407" s="92"/>
      <c r="EP407" s="92"/>
      <c r="EQ407" s="92"/>
      <c r="ER407" s="92"/>
      <c r="ES407" s="92"/>
      <c r="ET407" s="92"/>
      <c r="EU407" s="92"/>
      <c r="EV407" s="92"/>
      <c r="EW407" s="92"/>
      <c r="EX407" s="92"/>
      <c r="EY407" s="92"/>
      <c r="EZ407" s="92"/>
      <c r="FA407" s="92"/>
      <c r="FB407" s="92"/>
      <c r="FC407" s="92"/>
      <c r="FD407" s="92"/>
      <c r="FE407" s="92"/>
      <c r="FF407" s="92"/>
      <c r="FG407" s="92"/>
      <c r="FH407" s="92"/>
      <c r="FI407" s="92"/>
      <c r="FJ407" s="92"/>
      <c r="FK407" s="92"/>
      <c r="FL407" s="92"/>
      <c r="FM407" s="92"/>
      <c r="FN407" s="92"/>
      <c r="FO407" s="92"/>
      <c r="FP407" s="92"/>
    </row>
    <row r="408" spans="1:172" s="74" customFormat="1" ht="15" customHeight="1" x14ac:dyDescent="0.15">
      <c r="A408" s="10" t="s">
        <v>53</v>
      </c>
      <c r="B408" s="28">
        <v>7.2999999999999995E-2</v>
      </c>
      <c r="C408" s="28">
        <v>0.13100000000000001</v>
      </c>
      <c r="D408" s="29">
        <f>AVERAGE(B408,C408)</f>
        <v>0.10200000000000001</v>
      </c>
      <c r="E408" s="7">
        <v>-21.09</v>
      </c>
      <c r="F408" s="7">
        <v>55.47</v>
      </c>
      <c r="G408" s="34">
        <v>38</v>
      </c>
      <c r="H408" s="10"/>
      <c r="I408" s="10"/>
      <c r="J408" s="10"/>
      <c r="K408" s="10"/>
      <c r="L408" s="13">
        <v>-86.139316112657298</v>
      </c>
      <c r="M408" s="13">
        <v>125.70825994381698</v>
      </c>
      <c r="N408" s="9">
        <v>37.208656538641598</v>
      </c>
      <c r="O408" s="9">
        <v>3.8580288040672102</v>
      </c>
      <c r="P408" s="9"/>
      <c r="Q408" s="9"/>
      <c r="R408" s="7">
        <v>709</v>
      </c>
      <c r="S408" s="13">
        <v>-86.135910923016297</v>
      </c>
      <c r="T408" s="13">
        <v>125.672763301597</v>
      </c>
      <c r="U408" s="9">
        <v>-40.119999999999997</v>
      </c>
      <c r="V408" s="9">
        <v>3.21999999999993</v>
      </c>
      <c r="W408" s="9">
        <v>5.2781371280724299E-3</v>
      </c>
      <c r="X408" s="7" t="s">
        <v>1202</v>
      </c>
      <c r="Y408" s="10"/>
      <c r="Z408" s="7"/>
      <c r="AA408" s="10" t="b">
        <v>1</v>
      </c>
      <c r="AB408" s="7">
        <v>0</v>
      </c>
      <c r="AC408" s="10" t="s">
        <v>54</v>
      </c>
      <c r="AD408" s="7"/>
      <c r="AE408" s="7" t="s">
        <v>32</v>
      </c>
      <c r="AF408" s="10"/>
      <c r="AG408" s="14"/>
      <c r="AH408" s="10"/>
      <c r="AI408" s="92"/>
      <c r="AJ408" s="32"/>
      <c r="AK408" s="92"/>
      <c r="AL408" s="92"/>
      <c r="AM408" s="92"/>
      <c r="AN408" s="92"/>
      <c r="AO408" s="92"/>
      <c r="AP408" s="92"/>
      <c r="AQ408" s="92"/>
      <c r="AR408" s="92"/>
      <c r="AS408" s="92"/>
      <c r="AT408" s="92"/>
      <c r="AU408" s="92"/>
      <c r="AV408" s="92"/>
      <c r="AW408" s="92"/>
      <c r="AX408" s="92"/>
      <c r="AY408" s="92"/>
      <c r="AZ408" s="92"/>
      <c r="BA408" s="92"/>
      <c r="BB408" s="92"/>
      <c r="BC408" s="92"/>
      <c r="BD408" s="92"/>
      <c r="BE408" s="92"/>
      <c r="BF408" s="92"/>
      <c r="BG408" s="92"/>
      <c r="BH408" s="92"/>
      <c r="BI408" s="92"/>
      <c r="BJ408" s="92"/>
      <c r="BK408" s="92"/>
      <c r="BL408" s="92"/>
      <c r="BM408" s="92"/>
      <c r="BN408" s="92"/>
      <c r="BO408" s="92"/>
      <c r="BP408" s="92"/>
      <c r="BQ408" s="92"/>
      <c r="BR408" s="92"/>
      <c r="BS408" s="92"/>
      <c r="BT408" s="92"/>
      <c r="BU408" s="92"/>
      <c r="BV408" s="92"/>
      <c r="BW408" s="92"/>
      <c r="BX408" s="92"/>
      <c r="BY408" s="92"/>
      <c r="BZ408" s="92"/>
      <c r="CA408" s="92"/>
      <c r="CB408" s="92"/>
      <c r="CC408" s="92"/>
      <c r="CD408" s="92"/>
      <c r="CE408" s="92"/>
      <c r="CF408" s="92"/>
      <c r="CG408" s="92"/>
      <c r="CH408" s="92"/>
      <c r="CI408" s="92"/>
      <c r="CJ408" s="92"/>
      <c r="CK408" s="92"/>
      <c r="CL408" s="92"/>
      <c r="CM408" s="92"/>
      <c r="CN408" s="92"/>
      <c r="CO408" s="92"/>
      <c r="CP408" s="92"/>
      <c r="CQ408" s="92"/>
      <c r="CR408" s="92"/>
      <c r="CS408" s="92"/>
      <c r="CT408" s="92"/>
      <c r="CU408" s="92"/>
      <c r="CV408" s="92"/>
      <c r="CW408" s="92"/>
      <c r="CX408" s="92"/>
      <c r="CY408" s="92"/>
      <c r="CZ408" s="92"/>
      <c r="DA408" s="92"/>
      <c r="DB408" s="92"/>
      <c r="DC408" s="92"/>
      <c r="DD408" s="92"/>
      <c r="DE408" s="92"/>
      <c r="DF408" s="92"/>
      <c r="DG408" s="92"/>
      <c r="DH408" s="92"/>
      <c r="DI408" s="92"/>
      <c r="DJ408" s="92"/>
      <c r="DK408" s="92"/>
      <c r="DL408" s="92"/>
      <c r="DM408" s="92"/>
      <c r="DN408" s="92"/>
      <c r="DO408" s="92"/>
      <c r="DP408" s="92"/>
      <c r="DQ408" s="92"/>
      <c r="DR408" s="92"/>
      <c r="DS408" s="92"/>
      <c r="DT408" s="92"/>
      <c r="DU408" s="92"/>
      <c r="DV408" s="92"/>
      <c r="DW408" s="92"/>
      <c r="DX408" s="92"/>
      <c r="DY408" s="92"/>
      <c r="DZ408" s="92"/>
      <c r="EA408" s="92"/>
      <c r="EB408" s="92"/>
      <c r="EC408" s="92"/>
      <c r="ED408" s="92"/>
      <c r="EE408" s="92"/>
      <c r="EF408" s="92"/>
      <c r="EG408" s="92"/>
      <c r="EH408" s="92"/>
      <c r="EI408" s="92"/>
      <c r="EJ408" s="92"/>
      <c r="EK408" s="92"/>
      <c r="EL408" s="92"/>
      <c r="EM408" s="92"/>
      <c r="EN408" s="92"/>
      <c r="EO408" s="92"/>
      <c r="EP408" s="92"/>
      <c r="EQ408" s="92"/>
      <c r="ER408" s="92"/>
      <c r="ES408" s="92"/>
      <c r="ET408" s="92"/>
      <c r="EU408" s="92"/>
      <c r="EV408" s="92"/>
      <c r="EW408" s="92"/>
      <c r="EX408" s="92"/>
      <c r="EY408" s="92"/>
      <c r="EZ408" s="92"/>
      <c r="FA408" s="92"/>
      <c r="FB408" s="92"/>
      <c r="FC408" s="92"/>
      <c r="FD408" s="92"/>
      <c r="FE408" s="92"/>
      <c r="FF408" s="92"/>
      <c r="FG408" s="92"/>
      <c r="FH408" s="92"/>
      <c r="FI408" s="92"/>
      <c r="FJ408" s="92"/>
      <c r="FK408" s="92"/>
      <c r="FL408" s="92"/>
      <c r="FM408" s="92"/>
      <c r="FN408" s="92"/>
      <c r="FO408" s="92"/>
      <c r="FP408" s="92"/>
    </row>
    <row r="409" spans="1:172" s="74" customFormat="1" ht="15" customHeight="1" x14ac:dyDescent="0.15">
      <c r="A409" s="56" t="s">
        <v>119</v>
      </c>
      <c r="B409" s="50">
        <v>0.3</v>
      </c>
      <c r="C409" s="50">
        <v>5.36</v>
      </c>
      <c r="D409" s="51">
        <f>AVERAGE(B409,C409)</f>
        <v>2.83</v>
      </c>
      <c r="E409" s="52">
        <v>0.06</v>
      </c>
      <c r="F409" s="52">
        <v>37.590000000000003</v>
      </c>
      <c r="G409" s="53">
        <v>60</v>
      </c>
      <c r="H409" s="56"/>
      <c r="I409" s="56"/>
      <c r="J409" s="56"/>
      <c r="K409" s="56"/>
      <c r="L409" s="55">
        <v>-87.815873245071501</v>
      </c>
      <c r="M409" s="55">
        <v>298.65650865399198</v>
      </c>
      <c r="N409" s="54">
        <v>74.497529297093706</v>
      </c>
      <c r="O409" s="54">
        <v>2.13889409298005</v>
      </c>
      <c r="P409" s="54"/>
      <c r="Q409" s="54"/>
      <c r="R409" s="52">
        <v>709</v>
      </c>
      <c r="S409" s="55">
        <v>-87.901118391994103</v>
      </c>
      <c r="T409" s="55">
        <v>299.57541363777398</v>
      </c>
      <c r="U409" s="54">
        <v>-44.931178233193798</v>
      </c>
      <c r="V409" s="54">
        <v>5.1789559890382497</v>
      </c>
      <c r="W409" s="54">
        <v>0.13173594272477701</v>
      </c>
      <c r="X409" s="52" t="s">
        <v>1202</v>
      </c>
      <c r="Y409" s="56"/>
      <c r="Z409" s="52"/>
      <c r="AA409" s="56" t="b">
        <v>0</v>
      </c>
      <c r="AB409" s="52">
        <v>0</v>
      </c>
      <c r="AC409" s="56" t="s">
        <v>120</v>
      </c>
      <c r="AD409" s="52"/>
      <c r="AE409" s="52" t="s">
        <v>32</v>
      </c>
      <c r="AF409" s="56"/>
      <c r="AG409" s="49"/>
      <c r="AH409" s="56"/>
      <c r="AI409" s="92"/>
      <c r="AJ409" s="32"/>
      <c r="AK409" s="92"/>
      <c r="AL409" s="92"/>
      <c r="AM409" s="92"/>
      <c r="AN409" s="92"/>
      <c r="AO409" s="92"/>
      <c r="AP409" s="92"/>
      <c r="AQ409" s="92"/>
      <c r="AR409" s="92"/>
      <c r="AS409" s="92"/>
      <c r="AT409" s="92"/>
      <c r="AU409" s="92"/>
      <c r="AV409" s="92"/>
      <c r="AW409" s="92"/>
      <c r="AX409" s="92"/>
      <c r="AY409" s="92"/>
      <c r="AZ409" s="92"/>
      <c r="BA409" s="92"/>
      <c r="BB409" s="92"/>
      <c r="BC409" s="92"/>
      <c r="BD409" s="92"/>
      <c r="BE409" s="92"/>
      <c r="BF409" s="92"/>
      <c r="BG409" s="92"/>
      <c r="BH409" s="92"/>
      <c r="BI409" s="92"/>
      <c r="BJ409" s="92"/>
      <c r="BK409" s="92"/>
      <c r="BL409" s="92"/>
      <c r="BM409" s="92"/>
      <c r="BN409" s="92"/>
      <c r="BO409" s="92"/>
      <c r="BP409" s="92"/>
      <c r="BQ409" s="92"/>
      <c r="BR409" s="92"/>
      <c r="BS409" s="92"/>
      <c r="BT409" s="92"/>
      <c r="BU409" s="92"/>
      <c r="BV409" s="92"/>
      <c r="BW409" s="92"/>
      <c r="BX409" s="92"/>
      <c r="BY409" s="92"/>
      <c r="BZ409" s="92"/>
      <c r="CA409" s="92"/>
      <c r="CB409" s="92"/>
      <c r="CC409" s="92"/>
      <c r="CD409" s="92"/>
      <c r="CE409" s="92"/>
      <c r="CF409" s="92"/>
      <c r="CG409" s="92"/>
      <c r="CH409" s="92"/>
      <c r="CI409" s="92"/>
      <c r="CJ409" s="92"/>
      <c r="CK409" s="92"/>
      <c r="CL409" s="92"/>
      <c r="CM409" s="92"/>
      <c r="CN409" s="92"/>
      <c r="CO409" s="92"/>
      <c r="CP409" s="92"/>
      <c r="CQ409" s="92"/>
      <c r="CR409" s="92"/>
      <c r="CS409" s="92"/>
      <c r="CT409" s="92"/>
      <c r="CU409" s="92"/>
      <c r="CV409" s="92"/>
      <c r="CW409" s="92"/>
      <c r="CX409" s="92"/>
      <c r="CY409" s="92"/>
      <c r="CZ409" s="92"/>
      <c r="DA409" s="92"/>
      <c r="DB409" s="92"/>
      <c r="DC409" s="92"/>
      <c r="DD409" s="92"/>
      <c r="DE409" s="92"/>
      <c r="DF409" s="92"/>
      <c r="DG409" s="92"/>
      <c r="DH409" s="92"/>
      <c r="DI409" s="92"/>
      <c r="DJ409" s="92"/>
      <c r="DK409" s="92"/>
      <c r="DL409" s="92"/>
      <c r="DM409" s="92"/>
      <c r="DN409" s="92"/>
      <c r="DO409" s="92"/>
      <c r="DP409" s="92"/>
      <c r="DQ409" s="92"/>
      <c r="DR409" s="92"/>
      <c r="DS409" s="92"/>
      <c r="DT409" s="92"/>
      <c r="DU409" s="92"/>
      <c r="DV409" s="92"/>
      <c r="DW409" s="92"/>
      <c r="DX409" s="92"/>
      <c r="DY409" s="92"/>
      <c r="DZ409" s="92"/>
      <c r="EA409" s="92"/>
      <c r="EB409" s="92"/>
      <c r="EC409" s="92"/>
      <c r="ED409" s="92"/>
      <c r="EE409" s="92"/>
      <c r="EF409" s="92"/>
      <c r="EG409" s="92"/>
      <c r="EH409" s="92"/>
      <c r="EI409" s="92"/>
      <c r="EJ409" s="92"/>
      <c r="EK409" s="92"/>
      <c r="EL409" s="92"/>
      <c r="EM409" s="92"/>
      <c r="EN409" s="92"/>
      <c r="EO409" s="92"/>
      <c r="EP409" s="92"/>
      <c r="EQ409" s="92"/>
      <c r="ER409" s="92"/>
      <c r="ES409" s="92"/>
      <c r="ET409" s="92"/>
      <c r="EU409" s="92"/>
      <c r="EV409" s="92"/>
      <c r="EW409" s="92"/>
      <c r="EX409" s="92"/>
      <c r="EY409" s="92"/>
      <c r="EZ409" s="92"/>
      <c r="FA409" s="92"/>
      <c r="FB409" s="92"/>
      <c r="FC409" s="92"/>
      <c r="FD409" s="92"/>
      <c r="FE409" s="92"/>
      <c r="FF409" s="92"/>
      <c r="FG409" s="92"/>
      <c r="FH409" s="92"/>
      <c r="FI409" s="92"/>
      <c r="FJ409" s="92"/>
      <c r="FK409" s="92"/>
      <c r="FL409" s="92"/>
      <c r="FM409" s="92"/>
      <c r="FN409" s="92"/>
      <c r="FO409" s="92"/>
      <c r="FP409" s="92"/>
    </row>
    <row r="410" spans="1:172" s="74" customFormat="1" ht="15" customHeight="1" x14ac:dyDescent="0.15">
      <c r="A410" s="56" t="s">
        <v>131</v>
      </c>
      <c r="B410" s="50">
        <v>3.53</v>
      </c>
      <c r="C410" s="50">
        <v>4.84</v>
      </c>
      <c r="D410" s="51">
        <f>AVERAGE(B410,C410)</f>
        <v>4.1849999999999996</v>
      </c>
      <c r="E410" s="52">
        <v>2.8</v>
      </c>
      <c r="F410" s="52">
        <v>36.729999999999997</v>
      </c>
      <c r="G410" s="53">
        <v>33</v>
      </c>
      <c r="H410" s="56"/>
      <c r="I410" s="56"/>
      <c r="J410" s="56"/>
      <c r="K410" s="56"/>
      <c r="L410" s="55">
        <v>-86.629880931377301</v>
      </c>
      <c r="M410" s="55">
        <v>15.687160574686999</v>
      </c>
      <c r="N410" s="54">
        <v>72.394234278372494</v>
      </c>
      <c r="O410" s="54">
        <v>2.9580142408532901</v>
      </c>
      <c r="P410" s="54"/>
      <c r="Q410" s="54"/>
      <c r="R410" s="52">
        <v>709</v>
      </c>
      <c r="S410" s="55">
        <v>-86.600113768243801</v>
      </c>
      <c r="T410" s="55">
        <v>17.8635786523765</v>
      </c>
      <c r="U410" s="54">
        <v>-45.410089853228598</v>
      </c>
      <c r="V410" s="54">
        <v>4.5315244795924796</v>
      </c>
      <c r="W410" s="54">
        <v>0.19989846498969699</v>
      </c>
      <c r="X410" s="52" t="s">
        <v>1202</v>
      </c>
      <c r="Y410" s="56"/>
      <c r="Z410" s="52"/>
      <c r="AA410" s="56" t="b">
        <v>0</v>
      </c>
      <c r="AB410" s="52">
        <v>0</v>
      </c>
      <c r="AC410" s="56" t="s">
        <v>120</v>
      </c>
      <c r="AD410" s="52"/>
      <c r="AE410" s="52" t="s">
        <v>32</v>
      </c>
      <c r="AF410" s="56"/>
      <c r="AG410" s="49"/>
      <c r="AH410" s="56"/>
      <c r="AI410" s="92"/>
      <c r="AJ410" s="32"/>
      <c r="AK410" s="92"/>
      <c r="AL410" s="92"/>
      <c r="AM410" s="92"/>
      <c r="AN410" s="92"/>
      <c r="AO410" s="92"/>
      <c r="AP410" s="92"/>
      <c r="AQ410" s="92"/>
      <c r="AR410" s="92"/>
      <c r="AS410" s="92"/>
      <c r="AT410" s="92"/>
      <c r="AU410" s="92"/>
      <c r="AV410" s="92"/>
      <c r="AW410" s="92"/>
      <c r="AX410" s="92"/>
      <c r="AY410" s="92"/>
      <c r="AZ410" s="92"/>
      <c r="BA410" s="92"/>
      <c r="BB410" s="92"/>
      <c r="BC410" s="92"/>
      <c r="BD410" s="92"/>
      <c r="BE410" s="92"/>
      <c r="BF410" s="92"/>
      <c r="BG410" s="92"/>
      <c r="BH410" s="92"/>
      <c r="BI410" s="92"/>
      <c r="BJ410" s="92"/>
      <c r="BK410" s="92"/>
      <c r="BL410" s="92"/>
      <c r="BM410" s="92"/>
      <c r="BN410" s="92"/>
      <c r="BO410" s="92"/>
      <c r="BP410" s="92"/>
      <c r="BQ410" s="92"/>
      <c r="BR410" s="92"/>
      <c r="BS410" s="92"/>
      <c r="BT410" s="92"/>
      <c r="BU410" s="92"/>
      <c r="BV410" s="92"/>
      <c r="BW410" s="92"/>
      <c r="BX410" s="92"/>
      <c r="BY410" s="92"/>
      <c r="BZ410" s="92"/>
      <c r="CA410" s="92"/>
      <c r="CB410" s="92"/>
      <c r="CC410" s="92"/>
      <c r="CD410" s="92"/>
      <c r="CE410" s="92"/>
      <c r="CF410" s="92"/>
      <c r="CG410" s="92"/>
      <c r="CH410" s="92"/>
      <c r="CI410" s="92"/>
      <c r="CJ410" s="92"/>
      <c r="CK410" s="92"/>
      <c r="CL410" s="92"/>
      <c r="CM410" s="92"/>
      <c r="CN410" s="92"/>
      <c r="CO410" s="92"/>
      <c r="CP410" s="92"/>
      <c r="CQ410" s="92"/>
      <c r="CR410" s="92"/>
      <c r="CS410" s="92"/>
      <c r="CT410" s="92"/>
      <c r="CU410" s="92"/>
      <c r="CV410" s="92"/>
      <c r="CW410" s="92"/>
      <c r="CX410" s="92"/>
      <c r="CY410" s="92"/>
      <c r="CZ410" s="92"/>
      <c r="DA410" s="92"/>
      <c r="DB410" s="92"/>
      <c r="DC410" s="92"/>
      <c r="DD410" s="92"/>
      <c r="DE410" s="92"/>
      <c r="DF410" s="92"/>
      <c r="DG410" s="92"/>
      <c r="DH410" s="92"/>
      <c r="DI410" s="92"/>
      <c r="DJ410" s="92"/>
      <c r="DK410" s="92"/>
      <c r="DL410" s="92"/>
      <c r="DM410" s="92"/>
      <c r="DN410" s="92"/>
      <c r="DO410" s="92"/>
      <c r="DP410" s="92"/>
      <c r="DQ410" s="92"/>
      <c r="DR410" s="92"/>
      <c r="DS410" s="92"/>
      <c r="DT410" s="92"/>
      <c r="DU410" s="92"/>
      <c r="DV410" s="92"/>
      <c r="DW410" s="92"/>
      <c r="DX410" s="92"/>
      <c r="DY410" s="92"/>
      <c r="DZ410" s="92"/>
      <c r="EA410" s="92"/>
      <c r="EB410" s="92"/>
      <c r="EC410" s="92"/>
      <c r="ED410" s="92"/>
      <c r="EE410" s="92"/>
      <c r="EF410" s="92"/>
      <c r="EG410" s="92"/>
      <c r="EH410" s="92"/>
      <c r="EI410" s="92"/>
      <c r="EJ410" s="92"/>
      <c r="EK410" s="92"/>
      <c r="EL410" s="92"/>
      <c r="EM410" s="92"/>
      <c r="EN410" s="92"/>
      <c r="EO410" s="92"/>
      <c r="EP410" s="92"/>
      <c r="EQ410" s="92"/>
      <c r="ER410" s="92"/>
      <c r="ES410" s="92"/>
      <c r="ET410" s="92"/>
      <c r="EU410" s="92"/>
      <c r="EV410" s="92"/>
      <c r="EW410" s="92"/>
      <c r="EX410" s="92"/>
      <c r="EY410" s="92"/>
      <c r="EZ410" s="92"/>
      <c r="FA410" s="92"/>
      <c r="FB410" s="92"/>
      <c r="FC410" s="92"/>
      <c r="FD410" s="92"/>
      <c r="FE410" s="92"/>
      <c r="FF410" s="92"/>
      <c r="FG410" s="92"/>
      <c r="FH410" s="92"/>
      <c r="FI410" s="92"/>
      <c r="FJ410" s="92"/>
      <c r="FK410" s="92"/>
      <c r="FL410" s="92"/>
      <c r="FM410" s="92"/>
      <c r="FN410" s="92"/>
      <c r="FO410" s="92"/>
      <c r="FP410" s="92"/>
    </row>
    <row r="411" spans="1:172" s="77" customFormat="1" ht="13" x14ac:dyDescent="0.2">
      <c r="A411" s="56" t="s">
        <v>155</v>
      </c>
      <c r="B411" s="54">
        <v>10</v>
      </c>
      <c r="C411" s="54">
        <v>13</v>
      </c>
      <c r="D411" s="58">
        <v>11.5</v>
      </c>
      <c r="E411" s="54">
        <v>1</v>
      </c>
      <c r="F411" s="54">
        <v>35.5</v>
      </c>
      <c r="G411" s="53">
        <v>104</v>
      </c>
      <c r="H411" s="54">
        <v>177.2</v>
      </c>
      <c r="I411" s="54">
        <v>4.5999999999999996</v>
      </c>
      <c r="J411" s="54">
        <v>14.3</v>
      </c>
      <c r="K411" s="54">
        <v>3.8</v>
      </c>
      <c r="L411" s="55">
        <v>-85.7</v>
      </c>
      <c r="M411" s="58">
        <v>75.8</v>
      </c>
      <c r="N411" s="54"/>
      <c r="O411" s="54"/>
      <c r="P411" s="54">
        <v>35.440247519028055</v>
      </c>
      <c r="Q411" s="54">
        <v>2.3603418923064279</v>
      </c>
      <c r="R411" s="52">
        <v>709</v>
      </c>
      <c r="S411" s="55">
        <v>-85.385040048048694</v>
      </c>
      <c r="T411" s="55">
        <v>77.246135700658897</v>
      </c>
      <c r="U411" s="54">
        <v>-44.0496078122653</v>
      </c>
      <c r="V411" s="54">
        <v>10.2895097393959</v>
      </c>
      <c r="W411" s="54">
        <v>0.478760915999009</v>
      </c>
      <c r="X411" s="52" t="s">
        <v>1204</v>
      </c>
      <c r="Y411" s="56"/>
      <c r="Z411" s="56"/>
      <c r="AA411" s="56" t="b">
        <v>1</v>
      </c>
      <c r="AB411" s="52" t="s">
        <v>165</v>
      </c>
      <c r="AC411" s="49" t="s">
        <v>156</v>
      </c>
      <c r="AD411" s="52">
        <v>3111</v>
      </c>
      <c r="AE411" s="52" t="s">
        <v>147</v>
      </c>
      <c r="AF411" s="56" t="s">
        <v>158</v>
      </c>
      <c r="AG411" s="49" t="s">
        <v>157</v>
      </c>
      <c r="AH411" s="56"/>
      <c r="AI411" s="19"/>
      <c r="AJ411" s="32"/>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row>
    <row r="412" spans="1:172" s="77" customFormat="1" ht="13" x14ac:dyDescent="0.2">
      <c r="A412" s="10" t="s">
        <v>168</v>
      </c>
      <c r="B412" s="9">
        <v>11</v>
      </c>
      <c r="C412" s="9">
        <v>13</v>
      </c>
      <c r="D412" s="13">
        <v>12</v>
      </c>
      <c r="E412" s="9">
        <v>0</v>
      </c>
      <c r="F412" s="9">
        <v>36</v>
      </c>
      <c r="G412" s="34">
        <v>22</v>
      </c>
      <c r="H412" s="9">
        <v>1.7</v>
      </c>
      <c r="I412" s="9">
        <v>-4.2</v>
      </c>
      <c r="J412" s="9">
        <v>13.4</v>
      </c>
      <c r="K412" s="9">
        <v>8.8000000000000007</v>
      </c>
      <c r="L412" s="13">
        <v>-86.5</v>
      </c>
      <c r="M412" s="6">
        <v>6.6</v>
      </c>
      <c r="N412" s="9">
        <v>28.8</v>
      </c>
      <c r="O412" s="9">
        <v>6.1</v>
      </c>
      <c r="P412" s="9" t="s">
        <v>1203</v>
      </c>
      <c r="Q412" s="9" t="s">
        <v>1203</v>
      </c>
      <c r="R412" s="7">
        <v>709</v>
      </c>
      <c r="S412" s="13">
        <v>-86.502126226935999</v>
      </c>
      <c r="T412" s="13">
        <v>12.1480983346299</v>
      </c>
      <c r="U412" s="9">
        <v>-43.890894779586802</v>
      </c>
      <c r="V412" s="9">
        <v>9.7117478852289292</v>
      </c>
      <c r="W412" s="9">
        <v>0.49991771215347702</v>
      </c>
      <c r="X412" s="7" t="s">
        <v>1202</v>
      </c>
      <c r="Y412" s="10"/>
      <c r="Z412" s="10"/>
      <c r="AA412" s="10" t="b">
        <v>1</v>
      </c>
      <c r="AB412" s="7">
        <v>0</v>
      </c>
      <c r="AC412" s="14" t="s">
        <v>169</v>
      </c>
      <c r="AD412" s="7">
        <v>774</v>
      </c>
      <c r="AE412" s="7" t="s">
        <v>147</v>
      </c>
      <c r="AF412" s="10" t="s">
        <v>170</v>
      </c>
      <c r="AG412" s="14"/>
      <c r="AH412" s="10"/>
      <c r="AI412" s="19"/>
      <c r="AJ412" s="32"/>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row>
    <row r="413" spans="1:172" s="77" customFormat="1" ht="14" customHeight="1" x14ac:dyDescent="0.2">
      <c r="A413" s="10" t="s">
        <v>182</v>
      </c>
      <c r="B413" s="9">
        <v>12</v>
      </c>
      <c r="C413" s="9">
        <v>15</v>
      </c>
      <c r="D413" s="6">
        <v>13.5</v>
      </c>
      <c r="E413" s="9">
        <v>-1.6</v>
      </c>
      <c r="F413" s="9">
        <v>35.9</v>
      </c>
      <c r="G413" s="34">
        <v>14</v>
      </c>
      <c r="H413" s="9">
        <v>2.2000000000000002</v>
      </c>
      <c r="I413" s="9">
        <v>18.8</v>
      </c>
      <c r="J413" s="9">
        <v>16.7</v>
      </c>
      <c r="K413" s="9">
        <v>10</v>
      </c>
      <c r="L413" s="13">
        <v>-80.099999999999994</v>
      </c>
      <c r="M413" s="6">
        <v>214.3</v>
      </c>
      <c r="N413" s="9">
        <v>20.8</v>
      </c>
      <c r="O413" s="9">
        <v>8.9</v>
      </c>
      <c r="P413" s="9" t="s">
        <v>1203</v>
      </c>
      <c r="Q413" s="9" t="s">
        <v>1203</v>
      </c>
      <c r="R413" s="7">
        <v>709</v>
      </c>
      <c r="S413" s="13">
        <v>-80.270158526174299</v>
      </c>
      <c r="T413" s="13">
        <v>211.661461650576</v>
      </c>
      <c r="U413" s="9">
        <v>-43.791601394007401</v>
      </c>
      <c r="V413" s="9">
        <v>9.2183190976180693</v>
      </c>
      <c r="W413" s="9">
        <v>0.58488534372021395</v>
      </c>
      <c r="X413" s="7" t="s">
        <v>1202</v>
      </c>
      <c r="Y413" s="10"/>
      <c r="Z413" s="10"/>
      <c r="AA413" s="10" t="b">
        <v>1</v>
      </c>
      <c r="AB413" s="7">
        <v>0</v>
      </c>
      <c r="AC413" s="14" t="s">
        <v>183</v>
      </c>
      <c r="AD413" s="7">
        <v>1517</v>
      </c>
      <c r="AE413" s="7" t="s">
        <v>147</v>
      </c>
      <c r="AF413" s="10" t="s">
        <v>184</v>
      </c>
      <c r="AG413" s="14" t="s">
        <v>1255</v>
      </c>
      <c r="AH413" s="10"/>
      <c r="AI413" s="19"/>
      <c r="AJ413" s="32"/>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row>
    <row r="414" spans="1:172" s="77" customFormat="1" ht="14" customHeight="1" x14ac:dyDescent="0.2">
      <c r="A414" s="56" t="s">
        <v>195</v>
      </c>
      <c r="B414" s="54">
        <v>14</v>
      </c>
      <c r="C414" s="54">
        <v>20</v>
      </c>
      <c r="D414" s="55">
        <v>17</v>
      </c>
      <c r="E414" s="54">
        <v>0</v>
      </c>
      <c r="F414" s="54">
        <v>36</v>
      </c>
      <c r="G414" s="53">
        <v>62</v>
      </c>
      <c r="H414" s="54">
        <v>4.0999999999999996</v>
      </c>
      <c r="I414" s="54">
        <v>1.7</v>
      </c>
      <c r="J414" s="54">
        <v>35</v>
      </c>
      <c r="K414" s="54">
        <v>3.1</v>
      </c>
      <c r="L414" s="55">
        <v>-84.6</v>
      </c>
      <c r="M414" s="58">
        <v>343.3</v>
      </c>
      <c r="N414" s="54">
        <v>69.900000000000006</v>
      </c>
      <c r="O414" s="54">
        <v>2.2999999999999998</v>
      </c>
      <c r="P414" s="54" t="s">
        <v>1203</v>
      </c>
      <c r="Q414" s="54" t="s">
        <v>1203</v>
      </c>
      <c r="R414" s="52">
        <v>709</v>
      </c>
      <c r="S414" s="55">
        <v>-84.863180008441702</v>
      </c>
      <c r="T414" s="55">
        <v>348.35650991181097</v>
      </c>
      <c r="U414" s="54">
        <v>-44.402841449498098</v>
      </c>
      <c r="V414" s="54">
        <v>12.7090757093405</v>
      </c>
      <c r="W414" s="54">
        <v>0.81375624230869303</v>
      </c>
      <c r="X414" s="52" t="s">
        <v>1202</v>
      </c>
      <c r="Y414" s="56"/>
      <c r="Z414" s="56"/>
      <c r="AA414" s="56" t="b">
        <v>0</v>
      </c>
      <c r="AB414" s="52">
        <v>0</v>
      </c>
      <c r="AC414" s="49" t="s">
        <v>169</v>
      </c>
      <c r="AD414" s="52">
        <v>774</v>
      </c>
      <c r="AE414" s="52" t="s">
        <v>147</v>
      </c>
      <c r="AF414" s="56" t="s">
        <v>1257</v>
      </c>
      <c r="AG414" s="49"/>
      <c r="AH414" s="56"/>
      <c r="AI414" s="19"/>
      <c r="AJ414" s="32"/>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row>
    <row r="415" spans="1:172" s="77" customFormat="1" ht="14" customHeight="1" x14ac:dyDescent="0.2">
      <c r="A415" s="10" t="s">
        <v>254</v>
      </c>
      <c r="B415" s="9">
        <v>30</v>
      </c>
      <c r="C415" s="9">
        <v>38</v>
      </c>
      <c r="D415" s="13">
        <v>34</v>
      </c>
      <c r="E415" s="9">
        <v>9.1</v>
      </c>
      <c r="F415" s="9">
        <v>41</v>
      </c>
      <c r="G415" s="34">
        <v>22</v>
      </c>
      <c r="H415" s="9">
        <v>191.4</v>
      </c>
      <c r="I415" s="9">
        <v>0.4</v>
      </c>
      <c r="J415" s="9">
        <v>14.4</v>
      </c>
      <c r="K415" s="9">
        <v>8.4</v>
      </c>
      <c r="L415" s="13">
        <v>-75.099999999999994</v>
      </c>
      <c r="M415" s="13">
        <v>350.3</v>
      </c>
      <c r="N415" s="9">
        <v>24.4</v>
      </c>
      <c r="O415" s="9">
        <v>6.4</v>
      </c>
      <c r="P415" s="9" t="s">
        <v>1203</v>
      </c>
      <c r="Q415" s="9" t="s">
        <v>1203</v>
      </c>
      <c r="R415" s="7">
        <v>709</v>
      </c>
      <c r="S415" s="13">
        <v>-75.265535096366406</v>
      </c>
      <c r="T415" s="13">
        <v>351.83022645048698</v>
      </c>
      <c r="U415" s="9">
        <v>-44.389999999999901</v>
      </c>
      <c r="V415" s="9">
        <v>7.6799999999999899</v>
      </c>
      <c r="W415" s="9">
        <v>0.81</v>
      </c>
      <c r="X415" s="7" t="s">
        <v>1202</v>
      </c>
      <c r="Y415" s="10"/>
      <c r="Z415" s="10"/>
      <c r="AA415" s="10" t="b">
        <v>1</v>
      </c>
      <c r="AB415" s="7">
        <v>0</v>
      </c>
      <c r="AC415" s="14" t="s">
        <v>255</v>
      </c>
      <c r="AD415" s="7">
        <v>40</v>
      </c>
      <c r="AE415" s="7" t="s">
        <v>147</v>
      </c>
      <c r="AF415" s="10" t="s">
        <v>256</v>
      </c>
      <c r="AG415" s="14"/>
      <c r="AH415" s="10"/>
      <c r="AI415" s="19"/>
      <c r="AJ415" s="32"/>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row>
    <row r="416" spans="1:172" s="77" customFormat="1" ht="14" customHeight="1" x14ac:dyDescent="0.2">
      <c r="A416" s="56" t="s">
        <v>480</v>
      </c>
      <c r="B416" s="54"/>
      <c r="C416" s="54"/>
      <c r="D416" s="55">
        <v>111</v>
      </c>
      <c r="E416" s="54">
        <v>-16.2</v>
      </c>
      <c r="F416" s="54">
        <v>34.200000000000003</v>
      </c>
      <c r="G416" s="53">
        <v>7</v>
      </c>
      <c r="H416" s="54">
        <v>336</v>
      </c>
      <c r="I416" s="54">
        <v>-54</v>
      </c>
      <c r="J416" s="54">
        <v>339</v>
      </c>
      <c r="K416" s="54">
        <v>3</v>
      </c>
      <c r="L416" s="55">
        <v>-61.8</v>
      </c>
      <c r="M416" s="58">
        <v>79.5</v>
      </c>
      <c r="N416" s="52">
        <v>217.7</v>
      </c>
      <c r="O416" s="52">
        <v>4.0999999999999996</v>
      </c>
      <c r="P416" s="54" t="s">
        <v>1203</v>
      </c>
      <c r="Q416" s="54" t="s">
        <v>1203</v>
      </c>
      <c r="R416" s="52">
        <v>709</v>
      </c>
      <c r="S416" s="55">
        <v>-61.250437997850199</v>
      </c>
      <c r="T416" s="55">
        <v>79.268382257799502</v>
      </c>
      <c r="U416" s="54">
        <v>-44.389999999999901</v>
      </c>
      <c r="V416" s="54">
        <v>7.6799999999999899</v>
      </c>
      <c r="W416" s="54">
        <v>0.81</v>
      </c>
      <c r="X416" s="52" t="s">
        <v>1202</v>
      </c>
      <c r="Y416" s="56"/>
      <c r="Z416" s="56"/>
      <c r="AA416" s="52" t="b">
        <v>0</v>
      </c>
      <c r="AB416" s="52" t="s">
        <v>31</v>
      </c>
      <c r="AC416" s="49" t="s">
        <v>481</v>
      </c>
      <c r="AD416" s="52">
        <v>992</v>
      </c>
      <c r="AE416" s="52" t="s">
        <v>147</v>
      </c>
      <c r="AF416" s="66" t="s">
        <v>482</v>
      </c>
      <c r="AG416" s="65"/>
      <c r="AH416" s="66"/>
      <c r="AI416" s="19"/>
      <c r="AJ416" s="32"/>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row>
    <row r="417" spans="1:172" s="77" customFormat="1" ht="14" customHeight="1" x14ac:dyDescent="0.2">
      <c r="A417" s="56" t="s">
        <v>532</v>
      </c>
      <c r="B417" s="72">
        <v>118</v>
      </c>
      <c r="C417" s="72">
        <v>131</v>
      </c>
      <c r="D417" s="55">
        <v>124.5</v>
      </c>
      <c r="E417" s="54">
        <v>-16.100000000000001</v>
      </c>
      <c r="F417" s="54">
        <v>35.533299999999997</v>
      </c>
      <c r="G417" s="53">
        <v>1</v>
      </c>
      <c r="H417" s="54">
        <v>333</v>
      </c>
      <c r="I417" s="54">
        <v>-54</v>
      </c>
      <c r="J417" s="54">
        <v>36.4</v>
      </c>
      <c r="K417" s="54">
        <v>9.3000000000000007</v>
      </c>
      <c r="L417" s="55">
        <v>-60</v>
      </c>
      <c r="M417" s="55">
        <v>82</v>
      </c>
      <c r="N417" s="54"/>
      <c r="O417" s="54"/>
      <c r="P417" s="61">
        <v>28.135848340389131</v>
      </c>
      <c r="Q417" s="64" t="e">
        <v>#DIV/0!</v>
      </c>
      <c r="R417" s="52">
        <v>709</v>
      </c>
      <c r="S417" s="55">
        <v>-59.443125036174699</v>
      </c>
      <c r="T417" s="55">
        <v>81.703774566557001</v>
      </c>
      <c r="U417" s="54">
        <v>-44.389999999999901</v>
      </c>
      <c r="V417" s="54">
        <v>7.6799999999999899</v>
      </c>
      <c r="W417" s="54">
        <v>0.81</v>
      </c>
      <c r="X417" s="52" t="s">
        <v>1202</v>
      </c>
      <c r="Y417" s="56"/>
      <c r="Z417" s="56"/>
      <c r="AA417" s="52" t="b">
        <v>0</v>
      </c>
      <c r="AB417" s="52" t="s">
        <v>31</v>
      </c>
      <c r="AC417" s="65" t="s">
        <v>533</v>
      </c>
      <c r="AD417" s="52">
        <v>401</v>
      </c>
      <c r="AE417" s="52" t="s">
        <v>147</v>
      </c>
      <c r="AF417" s="56" t="s">
        <v>534</v>
      </c>
      <c r="AG417" s="49" t="s">
        <v>1316</v>
      </c>
      <c r="AH417" s="56"/>
      <c r="AI417" s="19"/>
      <c r="AJ417" s="32"/>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row>
    <row r="418" spans="1:172" s="77" customFormat="1" ht="14" customHeight="1" x14ac:dyDescent="0.2">
      <c r="A418" s="56" t="s">
        <v>953</v>
      </c>
      <c r="B418" s="54">
        <v>264.3</v>
      </c>
      <c r="C418" s="54">
        <v>283.3</v>
      </c>
      <c r="D418" s="55">
        <v>273.8</v>
      </c>
      <c r="E418" s="54">
        <v>-8.8000000000000007</v>
      </c>
      <c r="F418" s="54">
        <v>32.9</v>
      </c>
      <c r="G418" s="58">
        <v>5</v>
      </c>
      <c r="H418" s="54">
        <v>172</v>
      </c>
      <c r="I418" s="54">
        <v>69</v>
      </c>
      <c r="J418" s="54">
        <v>227</v>
      </c>
      <c r="K418" s="54">
        <v>5</v>
      </c>
      <c r="L418" s="55">
        <v>-46</v>
      </c>
      <c r="M418" s="55">
        <v>40</v>
      </c>
      <c r="N418" s="54">
        <v>83.9</v>
      </c>
      <c r="O418" s="54">
        <v>8.4</v>
      </c>
      <c r="P418" s="54" t="s">
        <v>1203</v>
      </c>
      <c r="Q418" s="54" t="s">
        <v>1203</v>
      </c>
      <c r="R418" s="52">
        <v>709</v>
      </c>
      <c r="S418" s="55">
        <v>-45.690798340269097</v>
      </c>
      <c r="T418" s="55">
        <v>39.937346909744399</v>
      </c>
      <c r="U418" s="54">
        <v>-44.389999999999901</v>
      </c>
      <c r="V418" s="54">
        <v>7.6799999999999899</v>
      </c>
      <c r="W418" s="54">
        <v>0.81</v>
      </c>
      <c r="X418" s="52" t="s">
        <v>1204</v>
      </c>
      <c r="Y418" s="56"/>
      <c r="Z418" s="56"/>
      <c r="AA418" s="52" t="b">
        <v>1</v>
      </c>
      <c r="AB418" s="52" t="s">
        <v>165</v>
      </c>
      <c r="AC418" s="49" t="s">
        <v>777</v>
      </c>
      <c r="AD418" s="52">
        <v>324</v>
      </c>
      <c r="AE418" s="52" t="s">
        <v>147</v>
      </c>
      <c r="AF418" s="56" t="s">
        <v>954</v>
      </c>
      <c r="AG418" s="49"/>
      <c r="AH418" s="56"/>
      <c r="AI418" s="19"/>
      <c r="AJ418" s="32"/>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row>
    <row r="419" spans="1:172" s="77" customFormat="1" ht="14" customHeight="1" x14ac:dyDescent="0.2">
      <c r="A419" s="10" t="s">
        <v>37</v>
      </c>
      <c r="B419" s="28">
        <v>0</v>
      </c>
      <c r="C419" s="28">
        <v>1.4999999999999999E-2</v>
      </c>
      <c r="D419" s="29">
        <f>AVERAGE(B419,C419)</f>
        <v>7.4999999999999997E-3</v>
      </c>
      <c r="E419" s="7">
        <v>28.18</v>
      </c>
      <c r="F419" s="7">
        <v>343.95</v>
      </c>
      <c r="G419" s="34">
        <v>39</v>
      </c>
      <c r="H419" s="10"/>
      <c r="I419" s="10"/>
      <c r="J419" s="10"/>
      <c r="K419" s="10"/>
      <c r="L419" s="13">
        <v>-86.411048926513104</v>
      </c>
      <c r="M419" s="13">
        <v>329.646720589192</v>
      </c>
      <c r="N419" s="9">
        <v>61.148738933230099</v>
      </c>
      <c r="O419" s="9">
        <v>2.9533487270263801</v>
      </c>
      <c r="P419" s="9"/>
      <c r="Q419" s="9"/>
      <c r="R419" s="7">
        <v>714</v>
      </c>
      <c r="S419" s="13">
        <v>-86.411048926513104</v>
      </c>
      <c r="T419" s="13">
        <v>329.646720589192</v>
      </c>
      <c r="U419" s="9">
        <v>0</v>
      </c>
      <c r="V419" s="9">
        <v>0</v>
      </c>
      <c r="W419" s="9">
        <v>0</v>
      </c>
      <c r="X419" s="7" t="s">
        <v>1202</v>
      </c>
      <c r="Y419" s="10"/>
      <c r="Z419" s="7"/>
      <c r="AA419" s="10" t="b">
        <v>1</v>
      </c>
      <c r="AB419" s="7">
        <v>0</v>
      </c>
      <c r="AC419" s="14" t="s">
        <v>38</v>
      </c>
      <c r="AD419" s="7"/>
      <c r="AE419" s="7" t="s">
        <v>32</v>
      </c>
      <c r="AF419" s="10"/>
      <c r="AG419" s="14"/>
      <c r="AH419" s="10"/>
      <c r="AI419" s="19"/>
      <c r="AJ419" s="32"/>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row>
    <row r="420" spans="1:172" s="77" customFormat="1" ht="14" customHeight="1" x14ac:dyDescent="0.2">
      <c r="A420" s="14" t="s">
        <v>75</v>
      </c>
      <c r="B420" s="28">
        <v>0.45100000000000001</v>
      </c>
      <c r="C420" s="28">
        <v>0.47699999999999998</v>
      </c>
      <c r="D420" s="29">
        <f>AVERAGE(B420,C420)</f>
        <v>0.46399999999999997</v>
      </c>
      <c r="E420" s="7">
        <v>17.079999999999998</v>
      </c>
      <c r="F420" s="7">
        <v>334.72</v>
      </c>
      <c r="G420" s="34">
        <v>27</v>
      </c>
      <c r="H420" s="9"/>
      <c r="I420" s="9"/>
      <c r="J420" s="9"/>
      <c r="K420" s="9"/>
      <c r="L420" s="13">
        <v>-89.217219074273501</v>
      </c>
      <c r="M420" s="13">
        <v>215.4510214430326</v>
      </c>
      <c r="N420" s="9">
        <v>33.988456129996699</v>
      </c>
      <c r="O420" s="9">
        <v>4.8366153842333004</v>
      </c>
      <c r="P420" s="9"/>
      <c r="Q420" s="9"/>
      <c r="R420" s="7">
        <v>714</v>
      </c>
      <c r="S420" s="13">
        <v>-89.217219074273501</v>
      </c>
      <c r="T420" s="13">
        <v>215.451021443032</v>
      </c>
      <c r="U420" s="9">
        <v>0</v>
      </c>
      <c r="V420" s="9">
        <v>0</v>
      </c>
      <c r="W420" s="9">
        <v>0</v>
      </c>
      <c r="X420" s="7" t="s">
        <v>1202</v>
      </c>
      <c r="Y420" s="7"/>
      <c r="Z420" s="7"/>
      <c r="AA420" s="7" t="b">
        <v>1</v>
      </c>
      <c r="AB420" s="7">
        <v>0</v>
      </c>
      <c r="AC420" s="10" t="s">
        <v>76</v>
      </c>
      <c r="AD420" s="7"/>
      <c r="AE420" s="7" t="s">
        <v>32</v>
      </c>
      <c r="AF420" s="10"/>
      <c r="AG420" s="14"/>
      <c r="AH420" s="10"/>
      <c r="AI420" s="19"/>
      <c r="AJ420" s="32"/>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row>
    <row r="421" spans="1:172" s="77" customFormat="1" ht="14" customHeight="1" x14ac:dyDescent="0.2">
      <c r="A421" s="10" t="s">
        <v>93</v>
      </c>
      <c r="B421" s="28">
        <v>0.39</v>
      </c>
      <c r="C421" s="28">
        <v>1.79</v>
      </c>
      <c r="D421" s="29">
        <f>AVERAGE(B421,C421)</f>
        <v>1.0900000000000001</v>
      </c>
      <c r="E421" s="7">
        <v>28.78</v>
      </c>
      <c r="F421" s="7">
        <v>342.11</v>
      </c>
      <c r="G421" s="34">
        <v>22</v>
      </c>
      <c r="H421" s="10"/>
      <c r="I421" s="10"/>
      <c r="J421" s="10"/>
      <c r="K421" s="10"/>
      <c r="L421" s="13">
        <v>-86.361756921037895</v>
      </c>
      <c r="M421" s="13">
        <v>0.70065178912798842</v>
      </c>
      <c r="N421" s="9">
        <v>27.482525345221202</v>
      </c>
      <c r="O421" s="9">
        <v>6.0214089228158896</v>
      </c>
      <c r="P421" s="9"/>
      <c r="Q421" s="9"/>
      <c r="R421" s="7">
        <v>714</v>
      </c>
      <c r="S421" s="13">
        <v>-86.361756921037895</v>
      </c>
      <c r="T421" s="13">
        <v>0.70065178912798798</v>
      </c>
      <c r="U421" s="9">
        <v>0</v>
      </c>
      <c r="V421" s="9">
        <v>0</v>
      </c>
      <c r="W421" s="9">
        <v>0</v>
      </c>
      <c r="X421" s="7" t="s">
        <v>1202</v>
      </c>
      <c r="Y421" s="10"/>
      <c r="Z421" s="7"/>
      <c r="AA421" s="10" t="b">
        <v>1</v>
      </c>
      <c r="AB421" s="7">
        <v>0</v>
      </c>
      <c r="AC421" s="14" t="s">
        <v>94</v>
      </c>
      <c r="AD421" s="7"/>
      <c r="AE421" s="7" t="s">
        <v>32</v>
      </c>
      <c r="AF421" s="10"/>
      <c r="AG421" s="14"/>
      <c r="AH421" s="10"/>
      <c r="AI421" s="19"/>
      <c r="AJ421" s="32"/>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row>
    <row r="422" spans="1:172" s="69" customFormat="1" ht="15" customHeight="1" x14ac:dyDescent="0.2">
      <c r="A422" s="10" t="s">
        <v>139</v>
      </c>
      <c r="B422" s="28">
        <v>5.0999999999999996</v>
      </c>
      <c r="C422" s="28">
        <v>6.3</v>
      </c>
      <c r="D422" s="29">
        <f>AVERAGE(B422,C422)</f>
        <v>5.6999999999999993</v>
      </c>
      <c r="E422" s="7">
        <v>28.33</v>
      </c>
      <c r="F422" s="7">
        <v>343.14</v>
      </c>
      <c r="G422" s="34">
        <v>26</v>
      </c>
      <c r="H422" s="10"/>
      <c r="I422" s="10"/>
      <c r="J422" s="10"/>
      <c r="K422" s="10"/>
      <c r="L422" s="13">
        <v>-82.115673878010298</v>
      </c>
      <c r="M422" s="13">
        <v>344.07750051403002</v>
      </c>
      <c r="N422" s="9">
        <v>9.95276716433216</v>
      </c>
      <c r="O422" s="9">
        <v>9.4651408891195601</v>
      </c>
      <c r="P422" s="9"/>
      <c r="Q422" s="9"/>
      <c r="R422" s="7">
        <v>714</v>
      </c>
      <c r="S422" s="13">
        <v>-82.115673878010298</v>
      </c>
      <c r="T422" s="13">
        <v>344.07750051403002</v>
      </c>
      <c r="U422" s="9">
        <v>0</v>
      </c>
      <c r="V422" s="9">
        <v>0</v>
      </c>
      <c r="W422" s="9">
        <v>0</v>
      </c>
      <c r="X422" s="7" t="s">
        <v>1202</v>
      </c>
      <c r="Y422" s="10"/>
      <c r="Z422" s="7"/>
      <c r="AA422" s="10" t="b">
        <v>1</v>
      </c>
      <c r="AB422" s="7">
        <v>0</v>
      </c>
      <c r="AC422" s="14" t="s">
        <v>140</v>
      </c>
      <c r="AD422" s="7"/>
      <c r="AE422" s="7" t="s">
        <v>32</v>
      </c>
      <c r="AF422" s="10"/>
      <c r="AG422" s="14"/>
      <c r="AH422" s="10"/>
      <c r="AI422" s="12"/>
      <c r="AJ422" s="3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c r="DE422" s="12"/>
      <c r="DF422" s="12"/>
      <c r="DG422" s="12"/>
      <c r="DH422" s="12"/>
      <c r="DI422" s="12"/>
      <c r="DJ422" s="12"/>
      <c r="DK422" s="12"/>
      <c r="DL422" s="12"/>
      <c r="DM422" s="12"/>
      <c r="DN422" s="12"/>
      <c r="DO422" s="12"/>
      <c r="DP422" s="12"/>
      <c r="DQ422" s="12"/>
      <c r="DR422" s="12"/>
      <c r="DS422" s="12"/>
      <c r="DT422" s="12"/>
      <c r="DU422" s="12"/>
      <c r="DV422" s="12"/>
      <c r="DW422" s="12"/>
      <c r="DX422" s="12"/>
      <c r="DY422" s="12"/>
      <c r="DZ422" s="12"/>
      <c r="EA422" s="12"/>
      <c r="EB422" s="12"/>
      <c r="EC422" s="12"/>
      <c r="ED422" s="12"/>
      <c r="EE422" s="12"/>
      <c r="EF422" s="12"/>
      <c r="EG422" s="12"/>
      <c r="EH422" s="12"/>
      <c r="EI422" s="12"/>
      <c r="EJ422" s="12"/>
      <c r="EK422" s="12"/>
      <c r="EL422" s="12"/>
      <c r="EM422" s="12"/>
      <c r="EN422" s="12"/>
      <c r="EO422" s="12"/>
      <c r="EP422" s="12"/>
      <c r="EQ422" s="12"/>
      <c r="ER422" s="12"/>
      <c r="ES422" s="12"/>
      <c r="ET422" s="12"/>
      <c r="EU422" s="12"/>
      <c r="EV422" s="12"/>
      <c r="EW422" s="12"/>
      <c r="EX422" s="12"/>
      <c r="EY422" s="12"/>
      <c r="EZ422" s="12"/>
      <c r="FA422" s="12"/>
      <c r="FB422" s="12"/>
      <c r="FC422" s="12"/>
      <c r="FD422" s="12"/>
      <c r="FE422" s="12"/>
      <c r="FF422" s="12"/>
      <c r="FG422" s="12"/>
      <c r="FH422" s="12"/>
      <c r="FI422" s="12"/>
      <c r="FJ422" s="12"/>
      <c r="FK422" s="12"/>
      <c r="FL422" s="12"/>
      <c r="FM422" s="12"/>
      <c r="FN422" s="12"/>
      <c r="FO422" s="12"/>
      <c r="FP422" s="12"/>
    </row>
    <row r="423" spans="1:172" s="69" customFormat="1" ht="15" customHeight="1" x14ac:dyDescent="0.2">
      <c r="A423" s="56" t="s">
        <v>178</v>
      </c>
      <c r="B423" s="54"/>
      <c r="C423" s="54"/>
      <c r="D423" s="55">
        <v>13</v>
      </c>
      <c r="E423" s="54">
        <v>32</v>
      </c>
      <c r="F423" s="54">
        <v>5</v>
      </c>
      <c r="G423" s="53">
        <v>13</v>
      </c>
      <c r="H423" s="54">
        <v>1.2</v>
      </c>
      <c r="I423" s="54">
        <v>54.5</v>
      </c>
      <c r="J423" s="54">
        <v>325.8</v>
      </c>
      <c r="K423" s="54">
        <v>2.2999999999999998</v>
      </c>
      <c r="L423" s="55">
        <v>-86.8</v>
      </c>
      <c r="M423" s="58">
        <v>202.9</v>
      </c>
      <c r="N423" s="54"/>
      <c r="O423" s="54"/>
      <c r="P423" s="54">
        <v>246.7273020043778</v>
      </c>
      <c r="Q423" s="54">
        <v>2.6444155824730728</v>
      </c>
      <c r="R423" s="52">
        <v>714</v>
      </c>
      <c r="S423" s="55">
        <v>-86.8</v>
      </c>
      <c r="T423" s="55">
        <v>202.9</v>
      </c>
      <c r="U423" s="54">
        <v>0</v>
      </c>
      <c r="V423" s="54">
        <v>0</v>
      </c>
      <c r="W423" s="54">
        <v>0</v>
      </c>
      <c r="X423" s="52" t="s">
        <v>1202</v>
      </c>
      <c r="Y423" s="56"/>
      <c r="Z423" s="56"/>
      <c r="AA423" s="56" t="b">
        <v>0</v>
      </c>
      <c r="AB423" s="52" t="s">
        <v>31</v>
      </c>
      <c r="AC423" s="49" t="s">
        <v>179</v>
      </c>
      <c r="AD423" s="52">
        <v>555</v>
      </c>
      <c r="AE423" s="52" t="s">
        <v>147</v>
      </c>
      <c r="AF423" s="56"/>
      <c r="AG423" s="49" t="s">
        <v>1348</v>
      </c>
      <c r="AH423" s="56"/>
      <c r="AI423" s="12"/>
      <c r="AJ423" s="3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c r="DE423" s="12"/>
      <c r="DF423" s="12"/>
      <c r="DG423" s="12"/>
      <c r="DH423" s="12"/>
      <c r="DI423" s="12"/>
      <c r="DJ423" s="12"/>
      <c r="DK423" s="12"/>
      <c r="DL423" s="12"/>
      <c r="DM423" s="12"/>
      <c r="DN423" s="12"/>
      <c r="DO423" s="12"/>
      <c r="DP423" s="12"/>
      <c r="DQ423" s="12"/>
      <c r="DR423" s="12"/>
      <c r="DS423" s="12"/>
      <c r="DT423" s="12"/>
      <c r="DU423" s="12"/>
      <c r="DV423" s="12"/>
      <c r="DW423" s="12"/>
      <c r="DX423" s="12"/>
      <c r="DY423" s="12"/>
      <c r="DZ423" s="12"/>
      <c r="EA423" s="12"/>
      <c r="EB423" s="12"/>
      <c r="EC423" s="12"/>
      <c r="ED423" s="12"/>
      <c r="EE423" s="12"/>
      <c r="EF423" s="12"/>
      <c r="EG423" s="12"/>
      <c r="EH423" s="12"/>
      <c r="EI423" s="12"/>
      <c r="EJ423" s="12"/>
      <c r="EK423" s="12"/>
      <c r="EL423" s="12"/>
      <c r="EM423" s="12"/>
      <c r="EN423" s="12"/>
      <c r="EO423" s="12"/>
      <c r="EP423" s="12"/>
      <c r="EQ423" s="12"/>
      <c r="ER423" s="12"/>
      <c r="ES423" s="12"/>
      <c r="ET423" s="12"/>
      <c r="EU423" s="12"/>
      <c r="EV423" s="12"/>
      <c r="EW423" s="12"/>
      <c r="EX423" s="12"/>
      <c r="EY423" s="12"/>
      <c r="EZ423" s="12"/>
      <c r="FA423" s="12"/>
      <c r="FB423" s="12"/>
      <c r="FC423" s="12"/>
      <c r="FD423" s="12"/>
      <c r="FE423" s="12"/>
      <c r="FF423" s="12"/>
      <c r="FG423" s="12"/>
      <c r="FH423" s="12"/>
      <c r="FI423" s="12"/>
      <c r="FJ423" s="12"/>
      <c r="FK423" s="12"/>
      <c r="FL423" s="12"/>
      <c r="FM423" s="12"/>
      <c r="FN423" s="12"/>
      <c r="FO423" s="12"/>
      <c r="FP423" s="12"/>
    </row>
    <row r="424" spans="1:172" s="77" customFormat="1" ht="14" customHeight="1" x14ac:dyDescent="0.2">
      <c r="A424" s="10" t="s">
        <v>175</v>
      </c>
      <c r="B424" s="9">
        <v>5</v>
      </c>
      <c r="C424" s="9">
        <v>21</v>
      </c>
      <c r="D424" s="13">
        <v>13</v>
      </c>
      <c r="E424" s="9">
        <v>28</v>
      </c>
      <c r="F424" s="9">
        <v>344</v>
      </c>
      <c r="G424" s="34">
        <v>99</v>
      </c>
      <c r="H424" s="9">
        <v>7.4</v>
      </c>
      <c r="I424" s="9">
        <v>38.200000000000003</v>
      </c>
      <c r="J424" s="9">
        <v>12.7</v>
      </c>
      <c r="K424" s="9">
        <v>4.0999999999999996</v>
      </c>
      <c r="L424" s="13">
        <v>-81.900000000000006</v>
      </c>
      <c r="M424" s="6">
        <v>294.39999999999998</v>
      </c>
      <c r="N424" s="9">
        <v>16</v>
      </c>
      <c r="O424" s="9">
        <v>3.5</v>
      </c>
      <c r="P424" s="9" t="s">
        <v>1203</v>
      </c>
      <c r="Q424" s="9" t="s">
        <v>1203</v>
      </c>
      <c r="R424" s="7">
        <v>714</v>
      </c>
      <c r="S424" s="13">
        <v>-81.900000000000006</v>
      </c>
      <c r="T424" s="13">
        <v>294.39999999999998</v>
      </c>
      <c r="U424" s="9">
        <v>0</v>
      </c>
      <c r="V424" s="9">
        <v>0</v>
      </c>
      <c r="W424" s="9">
        <v>0</v>
      </c>
      <c r="X424" s="7" t="s">
        <v>1202</v>
      </c>
      <c r="Y424" s="10"/>
      <c r="Z424" s="10"/>
      <c r="AA424" s="10" t="b">
        <v>1</v>
      </c>
      <c r="AB424" s="7">
        <v>0</v>
      </c>
      <c r="AC424" s="14" t="s">
        <v>176</v>
      </c>
      <c r="AD424" s="7">
        <v>25</v>
      </c>
      <c r="AE424" s="7" t="s">
        <v>147</v>
      </c>
      <c r="AF424" s="10" t="s">
        <v>177</v>
      </c>
      <c r="AG424" s="14"/>
      <c r="AH424" s="10"/>
      <c r="AI424" s="19"/>
      <c r="AJ424" s="32"/>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row>
    <row r="425" spans="1:172" s="77" customFormat="1" ht="14" customHeight="1" x14ac:dyDescent="0.2">
      <c r="A425" s="56" t="s">
        <v>407</v>
      </c>
      <c r="B425" s="54">
        <v>66</v>
      </c>
      <c r="C425" s="54">
        <v>100.5</v>
      </c>
      <c r="D425" s="55">
        <v>83.3</v>
      </c>
      <c r="E425" s="54">
        <v>28.6</v>
      </c>
      <c r="F425" s="54">
        <v>345.9</v>
      </c>
      <c r="G425" s="53">
        <v>12</v>
      </c>
      <c r="H425" s="54">
        <v>342.2</v>
      </c>
      <c r="I425" s="54">
        <v>28.2</v>
      </c>
      <c r="J425" s="54">
        <v>98.7</v>
      </c>
      <c r="K425" s="54">
        <v>4.4000000000000004</v>
      </c>
      <c r="L425" s="55">
        <v>-68.8</v>
      </c>
      <c r="M425" s="55">
        <v>40.799999999999997</v>
      </c>
      <c r="N425" s="54"/>
      <c r="O425" s="54"/>
      <c r="P425" s="54">
        <v>177.90143140777337</v>
      </c>
      <c r="Q425" s="54">
        <v>3.263087895282728</v>
      </c>
      <c r="R425" s="52">
        <v>714</v>
      </c>
      <c r="S425" s="55">
        <v>-68.8</v>
      </c>
      <c r="T425" s="55">
        <v>40.799999999999997</v>
      </c>
      <c r="U425" s="54">
        <v>0</v>
      </c>
      <c r="V425" s="54">
        <v>0</v>
      </c>
      <c r="W425" s="54">
        <v>0</v>
      </c>
      <c r="X425" s="52" t="s">
        <v>1202</v>
      </c>
      <c r="Y425" s="56"/>
      <c r="Z425" s="56"/>
      <c r="AA425" s="56" t="b">
        <v>0</v>
      </c>
      <c r="AB425" s="52" t="s">
        <v>31</v>
      </c>
      <c r="AC425" s="49" t="s">
        <v>408</v>
      </c>
      <c r="AD425" s="52">
        <v>1493</v>
      </c>
      <c r="AE425" s="52" t="s">
        <v>147</v>
      </c>
      <c r="AF425" s="56" t="s">
        <v>409</v>
      </c>
      <c r="AG425" s="49" t="s">
        <v>1430</v>
      </c>
      <c r="AH425" s="56" t="s">
        <v>1361</v>
      </c>
      <c r="AI425" s="19"/>
      <c r="AJ425" s="32"/>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row>
    <row r="426" spans="1:172" s="74" customFormat="1" ht="15" customHeight="1" x14ac:dyDescent="0.15">
      <c r="A426" s="49" t="s">
        <v>578</v>
      </c>
      <c r="B426" s="54">
        <v>143.1</v>
      </c>
      <c r="C426" s="54">
        <v>161.5</v>
      </c>
      <c r="D426" s="55">
        <f>(B426+C426)/2</f>
        <v>152.30000000000001</v>
      </c>
      <c r="E426" s="54">
        <v>36.200000000000003</v>
      </c>
      <c r="F426" s="54">
        <v>10</v>
      </c>
      <c r="G426" s="58">
        <v>6</v>
      </c>
      <c r="H426" s="54">
        <v>355.7</v>
      </c>
      <c r="I426" s="54">
        <v>23.1</v>
      </c>
      <c r="J426" s="54">
        <v>114.6</v>
      </c>
      <c r="K426" s="54">
        <v>6.3</v>
      </c>
      <c r="L426" s="55">
        <v>-65.2</v>
      </c>
      <c r="M426" s="58">
        <v>20.3</v>
      </c>
      <c r="N426" s="54">
        <v>121.6</v>
      </c>
      <c r="O426" s="52">
        <v>6.1</v>
      </c>
      <c r="P426" s="54" t="s">
        <v>1203</v>
      </c>
      <c r="Q426" s="54" t="s">
        <v>1203</v>
      </c>
      <c r="R426" s="52">
        <v>714</v>
      </c>
      <c r="S426" s="55">
        <v>-65.300700738385501</v>
      </c>
      <c r="T426" s="55">
        <v>25.817791121794102</v>
      </c>
      <c r="U426" s="54">
        <v>33.65</v>
      </c>
      <c r="V426" s="54">
        <v>26.02</v>
      </c>
      <c r="W426" s="54">
        <v>2.34</v>
      </c>
      <c r="X426" s="52" t="s">
        <v>1204</v>
      </c>
      <c r="Y426" s="56"/>
      <c r="Z426" s="56"/>
      <c r="AA426" s="52" t="b">
        <v>1</v>
      </c>
      <c r="AB426" s="52" t="s">
        <v>165</v>
      </c>
      <c r="AC426" s="49" t="s">
        <v>579</v>
      </c>
      <c r="AD426" s="52">
        <v>1167</v>
      </c>
      <c r="AE426" s="52" t="s">
        <v>147</v>
      </c>
      <c r="AF426" s="56" t="s">
        <v>1352</v>
      </c>
      <c r="AG426" s="49"/>
      <c r="AH426" s="56"/>
      <c r="AI426" s="92"/>
      <c r="AJ426" s="32"/>
      <c r="AK426" s="92"/>
      <c r="AL426" s="92"/>
      <c r="AM426" s="92"/>
      <c r="AN426" s="92"/>
      <c r="AO426" s="92"/>
      <c r="AP426" s="92"/>
      <c r="AQ426" s="92"/>
      <c r="AR426" s="92"/>
      <c r="AS426" s="92"/>
      <c r="AT426" s="92"/>
      <c r="AU426" s="92"/>
      <c r="AV426" s="92"/>
      <c r="AW426" s="92"/>
      <c r="AX426" s="92"/>
      <c r="AY426" s="92"/>
      <c r="AZ426" s="92"/>
      <c r="BA426" s="92"/>
      <c r="BB426" s="92"/>
      <c r="BC426" s="92"/>
      <c r="BD426" s="92"/>
      <c r="BE426" s="92"/>
      <c r="BF426" s="92"/>
      <c r="BG426" s="92"/>
      <c r="BH426" s="92"/>
      <c r="BI426" s="92"/>
      <c r="BJ426" s="92"/>
      <c r="BK426" s="92"/>
      <c r="BL426" s="92"/>
      <c r="BM426" s="92"/>
      <c r="BN426" s="92"/>
      <c r="BO426" s="92"/>
      <c r="BP426" s="92"/>
      <c r="BQ426" s="92"/>
      <c r="BR426" s="92"/>
      <c r="BS426" s="92"/>
      <c r="BT426" s="92"/>
      <c r="BU426" s="92"/>
      <c r="BV426" s="92"/>
      <c r="BW426" s="92"/>
      <c r="BX426" s="92"/>
      <c r="BY426" s="92"/>
      <c r="BZ426" s="92"/>
      <c r="CA426" s="92"/>
      <c r="CB426" s="92"/>
      <c r="CC426" s="92"/>
      <c r="CD426" s="92"/>
      <c r="CE426" s="92"/>
      <c r="CF426" s="92"/>
      <c r="CG426" s="92"/>
      <c r="CH426" s="92"/>
      <c r="CI426" s="92"/>
      <c r="CJ426" s="92"/>
      <c r="CK426" s="92"/>
      <c r="CL426" s="92"/>
      <c r="CM426" s="92"/>
      <c r="CN426" s="92"/>
      <c r="CO426" s="92"/>
      <c r="CP426" s="92"/>
      <c r="CQ426" s="92"/>
      <c r="CR426" s="92"/>
      <c r="CS426" s="92"/>
      <c r="CT426" s="92"/>
      <c r="CU426" s="92"/>
      <c r="CV426" s="92"/>
      <c r="CW426" s="92"/>
      <c r="CX426" s="92"/>
      <c r="CY426" s="92"/>
      <c r="CZ426" s="92"/>
      <c r="DA426" s="92"/>
      <c r="DB426" s="92"/>
      <c r="DC426" s="92"/>
      <c r="DD426" s="92"/>
      <c r="DE426" s="92"/>
      <c r="DF426" s="92"/>
      <c r="DG426" s="92"/>
      <c r="DH426" s="92"/>
      <c r="DI426" s="92"/>
      <c r="DJ426" s="92"/>
      <c r="DK426" s="92"/>
      <c r="DL426" s="92"/>
      <c r="DM426" s="92"/>
      <c r="DN426" s="92"/>
      <c r="DO426" s="92"/>
      <c r="DP426" s="92"/>
      <c r="DQ426" s="92"/>
      <c r="DR426" s="92"/>
      <c r="DS426" s="92"/>
      <c r="DT426" s="92"/>
      <c r="DU426" s="92"/>
      <c r="DV426" s="92"/>
      <c r="DW426" s="92"/>
      <c r="DX426" s="92"/>
      <c r="DY426" s="92"/>
      <c r="DZ426" s="92"/>
      <c r="EA426" s="92"/>
      <c r="EB426" s="92"/>
      <c r="EC426" s="92"/>
      <c r="ED426" s="92"/>
      <c r="EE426" s="92"/>
      <c r="EF426" s="92"/>
      <c r="EG426" s="92"/>
      <c r="EH426" s="92"/>
      <c r="EI426" s="92"/>
      <c r="EJ426" s="92"/>
      <c r="EK426" s="92"/>
      <c r="EL426" s="92"/>
      <c r="EM426" s="92"/>
      <c r="EN426" s="92"/>
      <c r="EO426" s="92"/>
      <c r="EP426" s="92"/>
      <c r="EQ426" s="92"/>
      <c r="ER426" s="92"/>
      <c r="ES426" s="92"/>
      <c r="ET426" s="92"/>
      <c r="EU426" s="92"/>
      <c r="EV426" s="92"/>
      <c r="EW426" s="92"/>
      <c r="EX426" s="92"/>
      <c r="EY426" s="92"/>
      <c r="EZ426" s="92"/>
      <c r="FA426" s="92"/>
      <c r="FB426" s="92"/>
      <c r="FC426" s="92"/>
      <c r="FD426" s="92"/>
      <c r="FE426" s="92"/>
      <c r="FF426" s="92"/>
      <c r="FG426" s="92"/>
      <c r="FH426" s="92"/>
      <c r="FI426" s="92"/>
      <c r="FJ426" s="92"/>
      <c r="FK426" s="92"/>
      <c r="FL426" s="92"/>
      <c r="FM426" s="92"/>
      <c r="FN426" s="92"/>
      <c r="FO426" s="92"/>
      <c r="FP426" s="92"/>
    </row>
    <row r="427" spans="1:172" s="77" customFormat="1" ht="14" customHeight="1" x14ac:dyDescent="0.2">
      <c r="A427" s="14" t="s">
        <v>609</v>
      </c>
      <c r="B427" s="9">
        <v>150</v>
      </c>
      <c r="C427" s="9">
        <v>170</v>
      </c>
      <c r="D427" s="13">
        <v>160</v>
      </c>
      <c r="E427" s="9">
        <v>9</v>
      </c>
      <c r="F427" s="9">
        <v>8.6</v>
      </c>
      <c r="G427" s="6">
        <v>6</v>
      </c>
      <c r="H427" s="9">
        <v>337.9</v>
      </c>
      <c r="I427" s="9">
        <v>-14.2</v>
      </c>
      <c r="J427" s="9">
        <v>13</v>
      </c>
      <c r="K427" s="9">
        <v>19.2</v>
      </c>
      <c r="L427" s="13">
        <v>-62.5</v>
      </c>
      <c r="M427" s="13">
        <v>61.6</v>
      </c>
      <c r="N427" s="9">
        <v>27.8</v>
      </c>
      <c r="O427" s="9">
        <v>13</v>
      </c>
      <c r="P427" s="9" t="s">
        <v>1203</v>
      </c>
      <c r="Q427" s="9" t="s">
        <v>1203</v>
      </c>
      <c r="R427" s="7">
        <v>714</v>
      </c>
      <c r="S427" s="13">
        <v>-61.309113701377498</v>
      </c>
      <c r="T427" s="13">
        <v>65.785364038730805</v>
      </c>
      <c r="U427" s="9">
        <v>33.65</v>
      </c>
      <c r="V427" s="9">
        <v>26.02</v>
      </c>
      <c r="W427" s="9">
        <v>2.34</v>
      </c>
      <c r="X427" s="7" t="s">
        <v>1202</v>
      </c>
      <c r="Y427" s="10"/>
      <c r="Z427" s="10"/>
      <c r="AA427" s="7" t="b">
        <v>1</v>
      </c>
      <c r="AB427" s="7">
        <v>0</v>
      </c>
      <c r="AC427" s="40" t="s">
        <v>610</v>
      </c>
      <c r="AD427" s="7">
        <v>1081</v>
      </c>
      <c r="AE427" s="7" t="s">
        <v>147</v>
      </c>
      <c r="AF427" s="10" t="s">
        <v>1262</v>
      </c>
      <c r="AG427" s="14"/>
      <c r="AH427" s="10"/>
      <c r="AI427" s="19"/>
      <c r="AJ427" s="32"/>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row>
    <row r="428" spans="1:172" s="77" customFormat="1" ht="14" customHeight="1" x14ac:dyDescent="0.2">
      <c r="A428" s="14" t="s">
        <v>691</v>
      </c>
      <c r="B428" s="9">
        <v>183.5</v>
      </c>
      <c r="C428" s="9">
        <v>188.1</v>
      </c>
      <c r="D428" s="6">
        <v>185.8</v>
      </c>
      <c r="E428" s="9">
        <v>6.5</v>
      </c>
      <c r="F428" s="9">
        <f>360-10.5</f>
        <v>349.5</v>
      </c>
      <c r="G428" s="6">
        <v>25</v>
      </c>
      <c r="H428" s="9">
        <v>339.4</v>
      </c>
      <c r="I428" s="9">
        <v>-0.2</v>
      </c>
      <c r="J428" s="9">
        <v>16.2</v>
      </c>
      <c r="K428" s="9">
        <v>7.4</v>
      </c>
      <c r="L428" s="13">
        <v>-68.5</v>
      </c>
      <c r="M428" s="13">
        <v>62.4</v>
      </c>
      <c r="N428" s="9">
        <v>31</v>
      </c>
      <c r="O428" s="9">
        <v>5.3</v>
      </c>
      <c r="P428" s="9" t="s">
        <v>1203</v>
      </c>
      <c r="Q428" s="9" t="s">
        <v>1203</v>
      </c>
      <c r="R428" s="7">
        <v>714</v>
      </c>
      <c r="S428" s="13">
        <v>-67.276237781939599</v>
      </c>
      <c r="T428" s="13">
        <v>67.429087121820999</v>
      </c>
      <c r="U428" s="9">
        <v>33.65</v>
      </c>
      <c r="V428" s="9">
        <v>26.02</v>
      </c>
      <c r="W428" s="9">
        <v>2.34</v>
      </c>
      <c r="X428" s="7" t="s">
        <v>1202</v>
      </c>
      <c r="Y428" s="10"/>
      <c r="Z428" s="10"/>
      <c r="AA428" s="7" t="b">
        <v>1</v>
      </c>
      <c r="AB428" s="7">
        <v>0</v>
      </c>
      <c r="AC428" s="40" t="s">
        <v>1463</v>
      </c>
      <c r="AD428" s="7">
        <v>140</v>
      </c>
      <c r="AE428" s="7" t="s">
        <v>147</v>
      </c>
      <c r="AF428" s="10" t="s">
        <v>692</v>
      </c>
      <c r="AG428" s="14" t="s">
        <v>1444</v>
      </c>
      <c r="AH428" s="10"/>
      <c r="AI428" s="19"/>
      <c r="AJ428" s="32"/>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row>
    <row r="429" spans="1:172" s="77" customFormat="1" ht="14" customHeight="1" x14ac:dyDescent="0.2">
      <c r="A429" s="49" t="s">
        <v>695</v>
      </c>
      <c r="B429" s="54">
        <v>182</v>
      </c>
      <c r="C429" s="54">
        <v>192</v>
      </c>
      <c r="D429" s="55">
        <v>187</v>
      </c>
      <c r="E429" s="54">
        <v>24</v>
      </c>
      <c r="F429" s="54">
        <v>353</v>
      </c>
      <c r="G429" s="58">
        <v>13</v>
      </c>
      <c r="H429" s="54">
        <v>342</v>
      </c>
      <c r="I429" s="54">
        <v>24</v>
      </c>
      <c r="J429" s="54">
        <v>99</v>
      </c>
      <c r="K429" s="54">
        <v>4.0999999999999996</v>
      </c>
      <c r="L429" s="55">
        <v>-69.400000000000006</v>
      </c>
      <c r="M429" s="55">
        <v>52</v>
      </c>
      <c r="N429" s="54"/>
      <c r="O429" s="54"/>
      <c r="P429" s="54">
        <v>195.2723140836635</v>
      </c>
      <c r="Q429" s="54">
        <v>2.9740150874798377</v>
      </c>
      <c r="R429" s="52">
        <v>714</v>
      </c>
      <c r="S429" s="55">
        <v>-68.459543406313699</v>
      </c>
      <c r="T429" s="55">
        <v>57.726897544857202</v>
      </c>
      <c r="U429" s="54">
        <v>33.65</v>
      </c>
      <c r="V429" s="54">
        <v>26.02</v>
      </c>
      <c r="W429" s="54">
        <v>2.34</v>
      </c>
      <c r="X429" s="52" t="s">
        <v>1202</v>
      </c>
      <c r="Y429" s="56"/>
      <c r="Z429" s="56"/>
      <c r="AA429" s="52" t="b">
        <v>0</v>
      </c>
      <c r="AB429" s="52">
        <v>0</v>
      </c>
      <c r="AC429" s="65" t="s">
        <v>696</v>
      </c>
      <c r="AD429" s="52">
        <v>3259</v>
      </c>
      <c r="AE429" s="52" t="s">
        <v>147</v>
      </c>
      <c r="AF429" s="56" t="s">
        <v>697</v>
      </c>
      <c r="AG429" s="49" t="s">
        <v>1444</v>
      </c>
      <c r="AH429" s="56"/>
      <c r="AI429" s="19"/>
      <c r="AJ429" s="32"/>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row>
    <row r="430" spans="1:172" s="77" customFormat="1" ht="14" customHeight="1" x14ac:dyDescent="0.2">
      <c r="A430" s="49" t="s">
        <v>698</v>
      </c>
      <c r="B430" s="54">
        <v>182</v>
      </c>
      <c r="C430" s="54">
        <v>192</v>
      </c>
      <c r="D430" s="55">
        <v>187</v>
      </c>
      <c r="E430" s="54">
        <v>17</v>
      </c>
      <c r="F430" s="54">
        <v>352</v>
      </c>
      <c r="G430" s="58">
        <v>13</v>
      </c>
      <c r="H430" s="54">
        <v>342.5</v>
      </c>
      <c r="I430" s="54">
        <v>18.5</v>
      </c>
      <c r="J430" s="54">
        <v>46.5</v>
      </c>
      <c r="K430" s="54">
        <v>6.1</v>
      </c>
      <c r="L430" s="55">
        <v>-71.400000000000006</v>
      </c>
      <c r="M430" s="55">
        <v>60.2</v>
      </c>
      <c r="N430" s="54"/>
      <c r="O430" s="54"/>
      <c r="P430" s="54">
        <v>100.9794675163711</v>
      </c>
      <c r="Q430" s="54">
        <v>4.1453207524936557</v>
      </c>
      <c r="R430" s="52">
        <v>714</v>
      </c>
      <c r="S430" s="55">
        <v>-70.225085781386795</v>
      </c>
      <c r="T430" s="55">
        <v>65.964967369667804</v>
      </c>
      <c r="U430" s="54">
        <v>33.65</v>
      </c>
      <c r="V430" s="54">
        <v>26.02</v>
      </c>
      <c r="W430" s="54">
        <v>2.34</v>
      </c>
      <c r="X430" s="52" t="s">
        <v>1202</v>
      </c>
      <c r="Y430" s="56"/>
      <c r="Z430" s="56"/>
      <c r="AA430" s="52" t="b">
        <v>0</v>
      </c>
      <c r="AB430" s="52">
        <v>0</v>
      </c>
      <c r="AC430" s="65" t="s">
        <v>696</v>
      </c>
      <c r="AD430" s="52">
        <v>3260</v>
      </c>
      <c r="AE430" s="52" t="s">
        <v>147</v>
      </c>
      <c r="AF430" s="56" t="s">
        <v>697</v>
      </c>
      <c r="AG430" s="49" t="s">
        <v>1444</v>
      </c>
      <c r="AH430" s="56"/>
      <c r="AI430" s="19"/>
      <c r="AJ430" s="32"/>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row>
    <row r="431" spans="1:172" s="77" customFormat="1" ht="14" customHeight="1" x14ac:dyDescent="0.2">
      <c r="A431" s="14" t="s">
        <v>708</v>
      </c>
      <c r="B431" s="9">
        <v>190</v>
      </c>
      <c r="C431" s="9">
        <v>196</v>
      </c>
      <c r="D431" s="13">
        <v>193</v>
      </c>
      <c r="E431" s="7">
        <v>8.3000000000000007</v>
      </c>
      <c r="F431" s="9">
        <f>360-13.2</f>
        <v>346.8</v>
      </c>
      <c r="G431" s="6">
        <v>13</v>
      </c>
      <c r="H431" s="9">
        <v>174.8</v>
      </c>
      <c r="I431" s="9">
        <v>-6.9</v>
      </c>
      <c r="J431" s="9">
        <v>46</v>
      </c>
      <c r="K431" s="9">
        <v>6.2</v>
      </c>
      <c r="L431" s="13">
        <v>-82.9</v>
      </c>
      <c r="M431" s="13">
        <v>32.700000000000003</v>
      </c>
      <c r="N431" s="9">
        <v>55.8</v>
      </c>
      <c r="O431" s="9">
        <v>5.6</v>
      </c>
      <c r="P431" s="9" t="s">
        <v>1203</v>
      </c>
      <c r="Q431" s="9" t="s">
        <v>1203</v>
      </c>
      <c r="R431" s="7">
        <v>714</v>
      </c>
      <c r="S431" s="13">
        <v>-82.403079822504097</v>
      </c>
      <c r="T431" s="13">
        <v>48.650748275494799</v>
      </c>
      <c r="U431" s="9">
        <v>33.65</v>
      </c>
      <c r="V431" s="9">
        <v>26.02</v>
      </c>
      <c r="W431" s="9">
        <v>2.34</v>
      </c>
      <c r="X431" s="7" t="s">
        <v>1202</v>
      </c>
      <c r="Y431" s="10"/>
      <c r="Z431" s="10"/>
      <c r="AA431" s="7" t="b">
        <v>1</v>
      </c>
      <c r="AB431" s="7">
        <v>0</v>
      </c>
      <c r="AC431" s="40" t="s">
        <v>709</v>
      </c>
      <c r="AD431" s="7">
        <v>3287</v>
      </c>
      <c r="AE431" s="7" t="s">
        <v>147</v>
      </c>
      <c r="AF431" s="47" t="s">
        <v>710</v>
      </c>
      <c r="AG431" s="14"/>
      <c r="AH431" s="10"/>
      <c r="AI431" s="19"/>
      <c r="AJ431" s="32"/>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row>
    <row r="432" spans="1:172" s="77" customFormat="1" ht="14" customHeight="1" x14ac:dyDescent="0.2">
      <c r="A432" s="56" t="s">
        <v>758</v>
      </c>
      <c r="B432" s="54">
        <v>174.7</v>
      </c>
      <c r="C432" s="54">
        <v>237</v>
      </c>
      <c r="D432" s="55">
        <f>(B432+C432)/2</f>
        <v>205.85</v>
      </c>
      <c r="E432" s="54">
        <v>27.9</v>
      </c>
      <c r="F432" s="54">
        <v>9.3000000000000007</v>
      </c>
      <c r="G432" s="53">
        <v>8</v>
      </c>
      <c r="H432" s="54">
        <v>346</v>
      </c>
      <c r="I432" s="54">
        <v>26.3</v>
      </c>
      <c r="J432" s="54">
        <v>353</v>
      </c>
      <c r="K432" s="54">
        <v>2.6</v>
      </c>
      <c r="L432" s="55">
        <v>-70.900000000000006</v>
      </c>
      <c r="M432" s="55">
        <v>55.1</v>
      </c>
      <c r="N432" s="54">
        <v>478</v>
      </c>
      <c r="O432" s="54">
        <v>2.2999999999999998</v>
      </c>
      <c r="P432" s="54" t="s">
        <v>1203</v>
      </c>
      <c r="Q432" s="54" t="s">
        <v>1203</v>
      </c>
      <c r="R432" s="52">
        <v>714</v>
      </c>
      <c r="S432" s="55">
        <v>-69.865564042687595</v>
      </c>
      <c r="T432" s="55">
        <v>61.030790023311901</v>
      </c>
      <c r="U432" s="54">
        <v>33.65</v>
      </c>
      <c r="V432" s="54">
        <v>26.02</v>
      </c>
      <c r="W432" s="54">
        <v>2.34</v>
      </c>
      <c r="X432" s="52" t="s">
        <v>1204</v>
      </c>
      <c r="Y432" s="52"/>
      <c r="Z432" s="52"/>
      <c r="AA432" s="52" t="b">
        <v>0</v>
      </c>
      <c r="AB432" s="52" t="s">
        <v>31</v>
      </c>
      <c r="AC432" s="49" t="s">
        <v>759</v>
      </c>
      <c r="AD432" s="52">
        <v>2932</v>
      </c>
      <c r="AE432" s="52" t="s">
        <v>147</v>
      </c>
      <c r="AF432" s="56" t="s">
        <v>760</v>
      </c>
      <c r="AG432" s="49"/>
      <c r="AH432" s="56" t="s">
        <v>1361</v>
      </c>
      <c r="AI432" s="19"/>
      <c r="AJ432" s="32"/>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row>
    <row r="433" spans="1:172" s="77" customFormat="1" ht="14" customHeight="1" x14ac:dyDescent="0.2">
      <c r="A433" s="56" t="s">
        <v>1030</v>
      </c>
      <c r="B433" s="52">
        <v>274.39999999999998</v>
      </c>
      <c r="C433" s="52">
        <v>298.89999999999998</v>
      </c>
      <c r="D433" s="55">
        <f>(B433+C433)/2</f>
        <v>286.64999999999998</v>
      </c>
      <c r="E433" s="52">
        <v>31.2</v>
      </c>
      <c r="F433" s="52">
        <v>353.3</v>
      </c>
      <c r="G433" s="58">
        <v>96</v>
      </c>
      <c r="H433" s="54">
        <v>129.6</v>
      </c>
      <c r="I433" s="54">
        <v>13.4</v>
      </c>
      <c r="J433" s="54">
        <v>93</v>
      </c>
      <c r="K433" s="54">
        <v>1.5</v>
      </c>
      <c r="L433" s="55">
        <v>-30.8</v>
      </c>
      <c r="M433" s="55">
        <v>55</v>
      </c>
      <c r="N433" s="54">
        <v>88</v>
      </c>
      <c r="O433" s="52">
        <v>1.5</v>
      </c>
      <c r="P433" s="54" t="s">
        <v>1203</v>
      </c>
      <c r="Q433" s="54" t="s">
        <v>1203</v>
      </c>
      <c r="R433" s="52">
        <v>714</v>
      </c>
      <c r="S433" s="55">
        <v>-29.8224036496912</v>
      </c>
      <c r="T433" s="55">
        <v>57.281851347368999</v>
      </c>
      <c r="U433" s="54">
        <v>33.65</v>
      </c>
      <c r="V433" s="54">
        <v>26.02</v>
      </c>
      <c r="W433" s="54">
        <v>2.34</v>
      </c>
      <c r="X433" s="52" t="s">
        <v>1204</v>
      </c>
      <c r="Y433" s="56"/>
      <c r="Z433" s="56"/>
      <c r="AA433" s="52" t="b">
        <v>0</v>
      </c>
      <c r="AB433" s="52" t="s">
        <v>165</v>
      </c>
      <c r="AC433" s="65" t="s">
        <v>1031</v>
      </c>
      <c r="AD433" s="52">
        <v>3275</v>
      </c>
      <c r="AE433" s="52" t="s">
        <v>147</v>
      </c>
      <c r="AF433" s="56" t="s">
        <v>1024</v>
      </c>
      <c r="AG433" s="49" t="s">
        <v>1408</v>
      </c>
      <c r="AH433" s="49" t="s">
        <v>1361</v>
      </c>
      <c r="AI433" s="19"/>
      <c r="AJ433" s="32"/>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row>
    <row r="434" spans="1:172" s="77" customFormat="1" ht="14" customHeight="1" x14ac:dyDescent="0.2">
      <c r="A434" s="56" t="s">
        <v>1028</v>
      </c>
      <c r="B434" s="52">
        <v>274.39999999999998</v>
      </c>
      <c r="C434" s="52">
        <v>298.89999999999998</v>
      </c>
      <c r="D434" s="55">
        <f>(B434+C434)/2</f>
        <v>286.64999999999998</v>
      </c>
      <c r="E434" s="54">
        <v>31</v>
      </c>
      <c r="F434" s="54">
        <v>357.3</v>
      </c>
      <c r="G434" s="58">
        <v>13</v>
      </c>
      <c r="H434" s="54">
        <v>129</v>
      </c>
      <c r="I434" s="54">
        <v>11</v>
      </c>
      <c r="J434" s="54">
        <v>59</v>
      </c>
      <c r="K434" s="54">
        <v>6</v>
      </c>
      <c r="L434" s="55">
        <v>-29</v>
      </c>
      <c r="M434" s="55">
        <v>60</v>
      </c>
      <c r="N434" s="54">
        <v>69.7</v>
      </c>
      <c r="O434" s="54">
        <v>5</v>
      </c>
      <c r="P434" s="54" t="s">
        <v>1203</v>
      </c>
      <c r="Q434" s="54" t="s">
        <v>1203</v>
      </c>
      <c r="R434" s="52">
        <v>714</v>
      </c>
      <c r="S434" s="55">
        <v>-27.880971499004801</v>
      </c>
      <c r="T434" s="55">
        <v>62.160409839219803</v>
      </c>
      <c r="U434" s="54">
        <v>33.65</v>
      </c>
      <c r="V434" s="54">
        <v>26.02</v>
      </c>
      <c r="W434" s="54">
        <v>2.34</v>
      </c>
      <c r="X434" s="52" t="s">
        <v>1204</v>
      </c>
      <c r="Y434" s="56"/>
      <c r="Z434" s="56"/>
      <c r="AA434" s="52" t="b">
        <v>1</v>
      </c>
      <c r="AB434" s="52" t="s">
        <v>165</v>
      </c>
      <c r="AC434" s="49" t="s">
        <v>1029</v>
      </c>
      <c r="AD434" s="52">
        <v>1459</v>
      </c>
      <c r="AE434" s="52" t="s">
        <v>147</v>
      </c>
      <c r="AF434" s="56" t="s">
        <v>1024</v>
      </c>
      <c r="AG434" s="49"/>
      <c r="AH434" s="49" t="s">
        <v>1361</v>
      </c>
      <c r="AI434" s="19"/>
      <c r="AJ434" s="32"/>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row>
    <row r="435" spans="1:172" s="77" customFormat="1" ht="14" customHeight="1" x14ac:dyDescent="0.2">
      <c r="A435" s="56" t="s">
        <v>1073</v>
      </c>
      <c r="B435" s="54">
        <v>274.39999999999998</v>
      </c>
      <c r="C435" s="54">
        <v>307</v>
      </c>
      <c r="D435" s="55">
        <f>(B435+C435)/2</f>
        <v>290.7</v>
      </c>
      <c r="E435" s="52">
        <v>27.5</v>
      </c>
      <c r="F435" s="52">
        <v>8.9</v>
      </c>
      <c r="G435" s="58">
        <v>3</v>
      </c>
      <c r="H435" s="52">
        <v>143.4</v>
      </c>
      <c r="I435" s="52">
        <v>19.2</v>
      </c>
      <c r="J435" s="54">
        <v>837</v>
      </c>
      <c r="K435" s="52">
        <v>2.8</v>
      </c>
      <c r="L435" s="55">
        <v>-38.5</v>
      </c>
      <c r="M435" s="55">
        <v>57.5</v>
      </c>
      <c r="N435" s="52">
        <v>1459</v>
      </c>
      <c r="O435" s="52">
        <v>2.1</v>
      </c>
      <c r="P435" s="54" t="s">
        <v>1203</v>
      </c>
      <c r="Q435" s="54" t="s">
        <v>1203</v>
      </c>
      <c r="R435" s="52">
        <v>714</v>
      </c>
      <c r="S435" s="55">
        <v>-37.445613184139603</v>
      </c>
      <c r="T435" s="55">
        <v>60.075330666826702</v>
      </c>
      <c r="U435" s="54">
        <v>33.65</v>
      </c>
      <c r="V435" s="54">
        <v>26.02</v>
      </c>
      <c r="W435" s="54">
        <v>2.34</v>
      </c>
      <c r="X435" s="52" t="s">
        <v>1204</v>
      </c>
      <c r="Y435" s="56"/>
      <c r="Z435" s="56"/>
      <c r="AA435" s="52" t="b">
        <v>0</v>
      </c>
      <c r="AB435" s="52" t="s">
        <v>165</v>
      </c>
      <c r="AC435" s="49" t="s">
        <v>1074</v>
      </c>
      <c r="AD435" s="52">
        <v>2540</v>
      </c>
      <c r="AE435" s="52" t="s">
        <v>147</v>
      </c>
      <c r="AF435" s="56" t="s">
        <v>1072</v>
      </c>
      <c r="AG435" s="49" t="s">
        <v>1321</v>
      </c>
      <c r="AH435" s="49" t="s">
        <v>1361</v>
      </c>
      <c r="AI435" s="19"/>
      <c r="AJ435" s="32"/>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row>
    <row r="436" spans="1:172" s="77" customFormat="1" ht="14" customHeight="1" x14ac:dyDescent="0.2">
      <c r="A436" s="56" t="s">
        <v>1075</v>
      </c>
      <c r="B436" s="54">
        <v>274.39999999999998</v>
      </c>
      <c r="C436" s="54">
        <v>307</v>
      </c>
      <c r="D436" s="55">
        <f>(B436+C436)/2</f>
        <v>290.7</v>
      </c>
      <c r="E436" s="54">
        <v>27.7</v>
      </c>
      <c r="F436" s="54">
        <v>9</v>
      </c>
      <c r="G436" s="53">
        <v>7</v>
      </c>
      <c r="H436" s="54">
        <v>138.19999999999999</v>
      </c>
      <c r="I436" s="54">
        <v>21.2</v>
      </c>
      <c r="J436" s="54">
        <v>170</v>
      </c>
      <c r="K436" s="54">
        <v>4.0999999999999996</v>
      </c>
      <c r="L436" s="55">
        <v>-33.799999999999997</v>
      </c>
      <c r="M436" s="55">
        <v>61.4</v>
      </c>
      <c r="N436" s="54">
        <v>172</v>
      </c>
      <c r="O436" s="54">
        <v>4</v>
      </c>
      <c r="P436" s="54" t="s">
        <v>1203</v>
      </c>
      <c r="Q436" s="54" t="s">
        <v>1203</v>
      </c>
      <c r="R436" s="52">
        <v>714</v>
      </c>
      <c r="S436" s="55">
        <v>-32.640131258433499</v>
      </c>
      <c r="T436" s="55">
        <v>63.721748652662498</v>
      </c>
      <c r="U436" s="54">
        <v>33.65</v>
      </c>
      <c r="V436" s="54">
        <v>26.02</v>
      </c>
      <c r="W436" s="54">
        <v>2.34</v>
      </c>
      <c r="X436" s="52" t="s">
        <v>1204</v>
      </c>
      <c r="Y436" s="56"/>
      <c r="Z436" s="56"/>
      <c r="AA436" s="52" t="b">
        <v>0</v>
      </c>
      <c r="AB436" s="52" t="s">
        <v>165</v>
      </c>
      <c r="AC436" s="49" t="s">
        <v>1076</v>
      </c>
      <c r="AD436" s="52">
        <v>2728</v>
      </c>
      <c r="AE436" s="52" t="s">
        <v>147</v>
      </c>
      <c r="AF436" s="56" t="s">
        <v>1077</v>
      </c>
      <c r="AG436" s="49" t="s">
        <v>1321</v>
      </c>
      <c r="AH436" s="49" t="s">
        <v>1361</v>
      </c>
      <c r="AI436" s="19"/>
      <c r="AJ436" s="32"/>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row>
    <row r="437" spans="1:172" s="77" customFormat="1" ht="14" customHeight="1" x14ac:dyDescent="0.15">
      <c r="A437" s="56" t="s">
        <v>1168</v>
      </c>
      <c r="B437" s="54">
        <v>307</v>
      </c>
      <c r="C437" s="52">
        <v>315.2</v>
      </c>
      <c r="D437" s="55">
        <v>311.10000000000002</v>
      </c>
      <c r="E437" s="54">
        <v>27.5</v>
      </c>
      <c r="F437" s="54">
        <v>8.9</v>
      </c>
      <c r="G437" s="53">
        <v>10</v>
      </c>
      <c r="H437" s="54">
        <v>137.6</v>
      </c>
      <c r="I437" s="54">
        <v>33</v>
      </c>
      <c r="J437" s="54">
        <v>161</v>
      </c>
      <c r="K437" s="54">
        <v>3.5</v>
      </c>
      <c r="L437" s="55">
        <v>-28.7</v>
      </c>
      <c r="M437" s="58">
        <v>55.8</v>
      </c>
      <c r="N437" s="54">
        <v>235</v>
      </c>
      <c r="O437" s="52">
        <v>2.9</v>
      </c>
      <c r="P437" s="61" t="s">
        <v>1203</v>
      </c>
      <c r="Q437" s="61" t="s">
        <v>1203</v>
      </c>
      <c r="R437" s="52">
        <v>714</v>
      </c>
      <c r="S437" s="55">
        <v>-27.7002719126112</v>
      </c>
      <c r="T437" s="55">
        <v>57.993273880001198</v>
      </c>
      <c r="U437" s="54">
        <v>33.65</v>
      </c>
      <c r="V437" s="54">
        <v>26.02</v>
      </c>
      <c r="W437" s="54">
        <v>2.34</v>
      </c>
      <c r="X437" s="52" t="s">
        <v>1204</v>
      </c>
      <c r="Y437" s="56"/>
      <c r="Z437" s="56"/>
      <c r="AA437" s="52" t="b">
        <v>0</v>
      </c>
      <c r="AB437" s="52" t="s">
        <v>165</v>
      </c>
      <c r="AC437" s="49" t="s">
        <v>1074</v>
      </c>
      <c r="AD437" s="52">
        <v>2540</v>
      </c>
      <c r="AE437" s="52" t="s">
        <v>147</v>
      </c>
      <c r="AF437" s="56" t="s">
        <v>1169</v>
      </c>
      <c r="AG437" s="49" t="s">
        <v>1321</v>
      </c>
      <c r="AH437" s="56"/>
      <c r="AI437" s="19"/>
      <c r="AJ437" s="32"/>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row>
    <row r="438" spans="1:172" s="77" customFormat="1" ht="14" customHeight="1" x14ac:dyDescent="0.15">
      <c r="A438" s="56" t="s">
        <v>1170</v>
      </c>
      <c r="B438" s="54">
        <v>307</v>
      </c>
      <c r="C438" s="52">
        <v>315.2</v>
      </c>
      <c r="D438" s="55">
        <v>311.10000000000002</v>
      </c>
      <c r="E438" s="54">
        <v>27.7</v>
      </c>
      <c r="F438" s="54">
        <v>9.9</v>
      </c>
      <c r="G438" s="58">
        <v>7</v>
      </c>
      <c r="H438" s="54">
        <v>136.1</v>
      </c>
      <c r="I438" s="54">
        <v>31.2</v>
      </c>
      <c r="J438" s="54">
        <v>130</v>
      </c>
      <c r="K438" s="54">
        <v>4.5999999999999996</v>
      </c>
      <c r="L438" s="55">
        <v>-28.3</v>
      </c>
      <c r="M438" s="58">
        <v>58.9</v>
      </c>
      <c r="N438" s="54">
        <v>207.5</v>
      </c>
      <c r="O438" s="52">
        <v>4.2</v>
      </c>
      <c r="P438" s="61" t="s">
        <v>1203</v>
      </c>
      <c r="Q438" s="61" t="s">
        <v>1203</v>
      </c>
      <c r="R438" s="52">
        <v>714</v>
      </c>
      <c r="S438" s="55">
        <v>-27.211975467172</v>
      </c>
      <c r="T438" s="55">
        <v>61.047145573361703</v>
      </c>
      <c r="U438" s="54">
        <v>33.65</v>
      </c>
      <c r="V438" s="54">
        <v>26.02</v>
      </c>
      <c r="W438" s="54">
        <v>2.34</v>
      </c>
      <c r="X438" s="52" t="s">
        <v>1204</v>
      </c>
      <c r="Y438" s="56"/>
      <c r="Z438" s="56"/>
      <c r="AA438" s="52" t="b">
        <v>0</v>
      </c>
      <c r="AB438" s="52" t="s">
        <v>165</v>
      </c>
      <c r="AC438" s="49" t="s">
        <v>1171</v>
      </c>
      <c r="AD438" s="52">
        <v>3484</v>
      </c>
      <c r="AE438" s="52" t="s">
        <v>147</v>
      </c>
      <c r="AF438" s="56" t="s">
        <v>1169</v>
      </c>
      <c r="AG438" s="49" t="s">
        <v>1321</v>
      </c>
      <c r="AH438" s="56"/>
      <c r="AI438" s="19"/>
      <c r="AJ438" s="32"/>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row>
    <row r="439" spans="1:172" s="77" customFormat="1" ht="14" customHeight="1" x14ac:dyDescent="0.15">
      <c r="A439" s="56" t="s">
        <v>1188</v>
      </c>
      <c r="B439" s="54">
        <v>307</v>
      </c>
      <c r="C439" s="52">
        <v>323.39999999999998</v>
      </c>
      <c r="D439" s="55">
        <v>315.2</v>
      </c>
      <c r="E439" s="54">
        <v>26.7</v>
      </c>
      <c r="F439" s="54">
        <v>1.8</v>
      </c>
      <c r="G439" s="58">
        <v>15</v>
      </c>
      <c r="H439" s="54">
        <v>136.1</v>
      </c>
      <c r="I439" s="54">
        <v>22</v>
      </c>
      <c r="J439" s="54">
        <v>217</v>
      </c>
      <c r="K439" s="54">
        <v>2.6</v>
      </c>
      <c r="L439" s="55">
        <v>-32.799999999999997</v>
      </c>
      <c r="M439" s="58">
        <v>55.7</v>
      </c>
      <c r="N439" s="54">
        <v>328</v>
      </c>
      <c r="O439" s="54">
        <v>2</v>
      </c>
      <c r="P439" s="61" t="s">
        <v>1203</v>
      </c>
      <c r="Q439" s="61" t="s">
        <v>1203</v>
      </c>
      <c r="R439" s="52">
        <v>714</v>
      </c>
      <c r="S439" s="55">
        <v>-31.800833313121899</v>
      </c>
      <c r="T439" s="55">
        <v>58.053980633028097</v>
      </c>
      <c r="U439" s="54">
        <v>33.65</v>
      </c>
      <c r="V439" s="54">
        <v>26.02</v>
      </c>
      <c r="W439" s="54">
        <v>2.34</v>
      </c>
      <c r="X439" s="52" t="s">
        <v>1204</v>
      </c>
      <c r="Y439" s="56"/>
      <c r="Z439" s="56"/>
      <c r="AA439" s="52" t="b">
        <v>0</v>
      </c>
      <c r="AB439" s="52" t="s">
        <v>165</v>
      </c>
      <c r="AC439" s="49" t="s">
        <v>1189</v>
      </c>
      <c r="AD439" s="52"/>
      <c r="AE439" s="52" t="s">
        <v>147</v>
      </c>
      <c r="AF439" s="56" t="s">
        <v>1190</v>
      </c>
      <c r="AG439" s="49" t="s">
        <v>1321</v>
      </c>
      <c r="AH439" s="56"/>
      <c r="AI439" s="19"/>
      <c r="AJ439" s="32"/>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row>
    <row r="440" spans="1:172" s="77" customFormat="1" ht="14" customHeight="1" x14ac:dyDescent="0.15">
      <c r="A440" s="56" t="s">
        <v>1191</v>
      </c>
      <c r="B440" s="54">
        <v>307</v>
      </c>
      <c r="C440" s="54">
        <v>330.3</v>
      </c>
      <c r="D440" s="55">
        <f>(B440+C440)/2</f>
        <v>318.64999999999998</v>
      </c>
      <c r="E440" s="54">
        <v>26.5</v>
      </c>
      <c r="F440" s="54">
        <v>0.4</v>
      </c>
      <c r="G440" s="58">
        <v>4</v>
      </c>
      <c r="H440" s="54">
        <v>137.69999999999999</v>
      </c>
      <c r="I440" s="54">
        <v>38.799999999999997</v>
      </c>
      <c r="J440" s="54">
        <v>297</v>
      </c>
      <c r="K440" s="54">
        <v>5.3</v>
      </c>
      <c r="L440" s="55">
        <v>-26.5</v>
      </c>
      <c r="M440" s="58">
        <v>44.7</v>
      </c>
      <c r="N440" s="54">
        <v>383</v>
      </c>
      <c r="O440" s="52">
        <v>4.7</v>
      </c>
      <c r="P440" s="61" t="s">
        <v>1203</v>
      </c>
      <c r="Q440" s="61" t="s">
        <v>1203</v>
      </c>
      <c r="R440" s="52">
        <v>714</v>
      </c>
      <c r="S440" s="55">
        <v>-25.840786314828701</v>
      </c>
      <c r="T440" s="55">
        <v>46.897605125717199</v>
      </c>
      <c r="U440" s="54">
        <v>33.65</v>
      </c>
      <c r="V440" s="54">
        <v>26.02</v>
      </c>
      <c r="W440" s="54">
        <v>2.34</v>
      </c>
      <c r="X440" s="52" t="s">
        <v>1204</v>
      </c>
      <c r="Y440" s="56"/>
      <c r="Z440" s="56"/>
      <c r="AA440" s="52" t="b">
        <v>0</v>
      </c>
      <c r="AB440" s="52" t="s">
        <v>165</v>
      </c>
      <c r="AC440" s="49" t="s">
        <v>1192</v>
      </c>
      <c r="AD440" s="52">
        <v>3402</v>
      </c>
      <c r="AE440" s="52" t="s">
        <v>147</v>
      </c>
      <c r="AF440" s="56" t="s">
        <v>1193</v>
      </c>
      <c r="AG440" s="49" t="s">
        <v>1323</v>
      </c>
      <c r="AH440" s="49" t="s">
        <v>1361</v>
      </c>
      <c r="AI440" s="19"/>
      <c r="AJ440" s="32"/>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row>
    <row r="441" spans="1:172" s="77" customFormat="1" ht="14" customHeight="1" x14ac:dyDescent="0.15">
      <c r="A441" s="56" t="s">
        <v>1197</v>
      </c>
      <c r="B441" s="52">
        <v>315.2</v>
      </c>
      <c r="C441" s="52">
        <v>323.39999999999998</v>
      </c>
      <c r="D441" s="55">
        <v>319.3</v>
      </c>
      <c r="E441" s="54">
        <v>27.5</v>
      </c>
      <c r="F441" s="54">
        <v>8.8000000000000007</v>
      </c>
      <c r="G441" s="58">
        <v>8</v>
      </c>
      <c r="H441" s="54">
        <v>137.5</v>
      </c>
      <c r="I441" s="54">
        <v>33.700000000000003</v>
      </c>
      <c r="J441" s="54">
        <v>118</v>
      </c>
      <c r="K441" s="54">
        <v>4.5</v>
      </c>
      <c r="L441" s="55">
        <v>-28.2</v>
      </c>
      <c r="M441" s="58">
        <v>55.5</v>
      </c>
      <c r="N441" s="52">
        <v>266.39999999999998</v>
      </c>
      <c r="O441" s="52">
        <v>3.4</v>
      </c>
      <c r="P441" s="61" t="s">
        <v>1203</v>
      </c>
      <c r="Q441" s="61" t="s">
        <v>1203</v>
      </c>
      <c r="R441" s="52">
        <v>714</v>
      </c>
      <c r="S441" s="55">
        <v>-27.209270738772801</v>
      </c>
      <c r="T441" s="55">
        <v>57.677550451229301</v>
      </c>
      <c r="U441" s="54">
        <v>33.65</v>
      </c>
      <c r="V441" s="54">
        <v>26.02</v>
      </c>
      <c r="W441" s="54">
        <v>2.34</v>
      </c>
      <c r="X441" s="52" t="s">
        <v>1204</v>
      </c>
      <c r="Y441" s="56"/>
      <c r="Z441" s="56"/>
      <c r="AA441" s="52" t="b">
        <v>0</v>
      </c>
      <c r="AB441" s="52" t="s">
        <v>165</v>
      </c>
      <c r="AC441" s="49" t="s">
        <v>1198</v>
      </c>
      <c r="AD441" s="52">
        <v>3481</v>
      </c>
      <c r="AE441" s="52" t="s">
        <v>147</v>
      </c>
      <c r="AF441" s="56" t="s">
        <v>1196</v>
      </c>
      <c r="AG441" s="49" t="s">
        <v>1321</v>
      </c>
      <c r="AH441" s="56"/>
      <c r="AI441" s="19"/>
      <c r="AJ441" s="32"/>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row>
    <row r="442" spans="1:172" s="74" customFormat="1" ht="15" customHeight="1" x14ac:dyDescent="0.15">
      <c r="A442" s="14" t="s">
        <v>159</v>
      </c>
      <c r="B442" s="9">
        <v>10</v>
      </c>
      <c r="C442" s="9">
        <v>13</v>
      </c>
      <c r="D442" s="6">
        <v>11.5</v>
      </c>
      <c r="E442" s="9">
        <v>28.7</v>
      </c>
      <c r="F442" s="9">
        <v>15.6</v>
      </c>
      <c r="G442" s="34">
        <v>12</v>
      </c>
      <c r="H442" s="9">
        <v>359.9</v>
      </c>
      <c r="I442" s="9">
        <v>31.6</v>
      </c>
      <c r="J442" s="9">
        <v>23.5</v>
      </c>
      <c r="K442" s="9">
        <v>8.3000000000000007</v>
      </c>
      <c r="L442" s="13">
        <v>-78.400000000000006</v>
      </c>
      <c r="M442" s="6">
        <v>16.100000000000001</v>
      </c>
      <c r="N442" s="9">
        <v>35.4</v>
      </c>
      <c r="O442" s="9">
        <v>7.4</v>
      </c>
      <c r="P442" s="9" t="s">
        <v>1203</v>
      </c>
      <c r="Q442" s="9" t="s">
        <v>1203</v>
      </c>
      <c r="R442" s="7">
        <v>715</v>
      </c>
      <c r="S442" s="13">
        <v>-78.400000000000006</v>
      </c>
      <c r="T442" s="13">
        <v>16.100000000000001</v>
      </c>
      <c r="U442" s="9">
        <v>0</v>
      </c>
      <c r="V442" s="9">
        <v>0</v>
      </c>
      <c r="W442" s="9">
        <v>0</v>
      </c>
      <c r="X442" s="7" t="s">
        <v>1202</v>
      </c>
      <c r="Y442" s="10"/>
      <c r="Z442" s="10"/>
      <c r="AA442" s="10" t="b">
        <v>1</v>
      </c>
      <c r="AB442" s="7">
        <v>0</v>
      </c>
      <c r="AC442" s="14" t="s">
        <v>162</v>
      </c>
      <c r="AD442" s="7">
        <v>50</v>
      </c>
      <c r="AE442" s="7" t="s">
        <v>147</v>
      </c>
      <c r="AF442" s="10" t="s">
        <v>163</v>
      </c>
      <c r="AG442" s="14"/>
      <c r="AH442" s="10"/>
      <c r="AI442" s="92"/>
      <c r="AJ442" s="32"/>
      <c r="AK442" s="92"/>
      <c r="AL442" s="92"/>
      <c r="AM442" s="92"/>
      <c r="AN442" s="92"/>
      <c r="AO442" s="92"/>
      <c r="AP442" s="92"/>
      <c r="AQ442" s="92"/>
      <c r="AR442" s="92"/>
      <c r="AS442" s="92"/>
      <c r="AT442" s="92"/>
      <c r="AU442" s="92"/>
      <c r="AV442" s="92"/>
      <c r="AW442" s="92"/>
      <c r="AX442" s="92"/>
      <c r="AY442" s="92"/>
      <c r="AZ442" s="92"/>
      <c r="BA442" s="92"/>
      <c r="BB442" s="92"/>
      <c r="BC442" s="92"/>
      <c r="BD442" s="92"/>
      <c r="BE442" s="92"/>
      <c r="BF442" s="92"/>
      <c r="BG442" s="92"/>
      <c r="BH442" s="92"/>
      <c r="BI442" s="92"/>
      <c r="BJ442" s="92"/>
      <c r="BK442" s="92"/>
      <c r="BL442" s="92"/>
      <c r="BM442" s="92"/>
      <c r="BN442" s="92"/>
      <c r="BO442" s="92"/>
      <c r="BP442" s="92"/>
      <c r="BQ442" s="92"/>
      <c r="BR442" s="92"/>
      <c r="BS442" s="92"/>
      <c r="BT442" s="92"/>
      <c r="BU442" s="92"/>
      <c r="BV442" s="92"/>
      <c r="BW442" s="92"/>
      <c r="BX442" s="92"/>
      <c r="BY442" s="92"/>
      <c r="BZ442" s="92"/>
      <c r="CA442" s="92"/>
      <c r="CB442" s="92"/>
      <c r="CC442" s="92"/>
      <c r="CD442" s="92"/>
      <c r="CE442" s="92"/>
      <c r="CF442" s="92"/>
      <c r="CG442" s="92"/>
      <c r="CH442" s="92"/>
      <c r="CI442" s="92"/>
      <c r="CJ442" s="92"/>
      <c r="CK442" s="92"/>
      <c r="CL442" s="92"/>
      <c r="CM442" s="92"/>
      <c r="CN442" s="92"/>
      <c r="CO442" s="92"/>
      <c r="CP442" s="92"/>
      <c r="CQ442" s="92"/>
      <c r="CR442" s="92"/>
      <c r="CS442" s="92"/>
      <c r="CT442" s="92"/>
      <c r="CU442" s="92"/>
      <c r="CV442" s="92"/>
      <c r="CW442" s="92"/>
      <c r="CX442" s="92"/>
      <c r="CY442" s="92"/>
      <c r="CZ442" s="92"/>
      <c r="DA442" s="92"/>
      <c r="DB442" s="92"/>
      <c r="DC442" s="92"/>
      <c r="DD442" s="92"/>
      <c r="DE442" s="92"/>
      <c r="DF442" s="92"/>
      <c r="DG442" s="92"/>
      <c r="DH442" s="92"/>
      <c r="DI442" s="92"/>
      <c r="DJ442" s="92"/>
      <c r="DK442" s="92"/>
      <c r="DL442" s="92"/>
      <c r="DM442" s="92"/>
      <c r="DN442" s="92"/>
      <c r="DO442" s="92"/>
      <c r="DP442" s="92"/>
      <c r="DQ442" s="92"/>
      <c r="DR442" s="92"/>
      <c r="DS442" s="92"/>
      <c r="DT442" s="92"/>
      <c r="DU442" s="92"/>
      <c r="DV442" s="92"/>
      <c r="DW442" s="92"/>
      <c r="DX442" s="92"/>
      <c r="DY442" s="92"/>
      <c r="DZ442" s="92"/>
      <c r="EA442" s="92"/>
      <c r="EB442" s="92"/>
      <c r="EC442" s="92"/>
      <c r="ED442" s="92"/>
      <c r="EE442" s="92"/>
      <c r="EF442" s="92"/>
      <c r="EG442" s="92"/>
      <c r="EH442" s="92"/>
      <c r="EI442" s="92"/>
      <c r="EJ442" s="92"/>
      <c r="EK442" s="92"/>
      <c r="EL442" s="92"/>
      <c r="EM442" s="92"/>
      <c r="EN442" s="92"/>
      <c r="EO442" s="92"/>
      <c r="EP442" s="92"/>
      <c r="EQ442" s="92"/>
      <c r="ER442" s="92"/>
      <c r="ES442" s="92"/>
      <c r="ET442" s="92"/>
      <c r="EU442" s="92"/>
      <c r="EV442" s="92"/>
      <c r="EW442" s="92"/>
      <c r="EX442" s="92"/>
      <c r="EY442" s="92"/>
      <c r="EZ442" s="92"/>
      <c r="FA442" s="92"/>
      <c r="FB442" s="92"/>
      <c r="FC442" s="92"/>
      <c r="FD442" s="92"/>
      <c r="FE442" s="92"/>
      <c r="FF442" s="92"/>
      <c r="FG442" s="92"/>
      <c r="FH442" s="92"/>
      <c r="FI442" s="92"/>
      <c r="FJ442" s="92"/>
      <c r="FK442" s="92"/>
      <c r="FL442" s="92"/>
      <c r="FM442" s="92"/>
      <c r="FN442" s="92"/>
      <c r="FO442" s="92"/>
      <c r="FP442" s="92"/>
    </row>
    <row r="443" spans="1:172" s="74" customFormat="1" ht="15" customHeight="1" x14ac:dyDescent="0.15">
      <c r="A443" s="10" t="s">
        <v>159</v>
      </c>
      <c r="B443" s="9">
        <v>10</v>
      </c>
      <c r="C443" s="9">
        <v>13</v>
      </c>
      <c r="D443" s="6">
        <v>11.5</v>
      </c>
      <c r="E443" s="9">
        <v>28.8</v>
      </c>
      <c r="F443" s="9">
        <v>15.5</v>
      </c>
      <c r="G443" s="34">
        <v>9</v>
      </c>
      <c r="H443" s="9">
        <v>3.7</v>
      </c>
      <c r="I443" s="9">
        <v>14.1</v>
      </c>
      <c r="J443" s="9">
        <v>21.9</v>
      </c>
      <c r="K443" s="9">
        <v>11.2</v>
      </c>
      <c r="L443" s="13">
        <v>-69</v>
      </c>
      <c r="M443" s="13">
        <v>4</v>
      </c>
      <c r="N443" s="9">
        <v>47</v>
      </c>
      <c r="O443" s="9">
        <v>6.8</v>
      </c>
      <c r="P443" s="9" t="s">
        <v>1203</v>
      </c>
      <c r="Q443" s="9" t="s">
        <v>1203</v>
      </c>
      <c r="R443" s="7">
        <v>715</v>
      </c>
      <c r="S443" s="13">
        <v>-69</v>
      </c>
      <c r="T443" s="13">
        <v>4</v>
      </c>
      <c r="U443" s="9">
        <v>0</v>
      </c>
      <c r="V443" s="9">
        <v>0</v>
      </c>
      <c r="W443" s="9">
        <v>0</v>
      </c>
      <c r="X443" s="7" t="s">
        <v>1202</v>
      </c>
      <c r="Y443" s="10"/>
      <c r="Z443" s="10"/>
      <c r="AA443" s="10" t="b">
        <v>1</v>
      </c>
      <c r="AB443" s="7">
        <v>0</v>
      </c>
      <c r="AC443" s="14" t="s">
        <v>160</v>
      </c>
      <c r="AD443" s="7">
        <v>60</v>
      </c>
      <c r="AE443" s="7" t="s">
        <v>147</v>
      </c>
      <c r="AF443" s="10" t="s">
        <v>161</v>
      </c>
      <c r="AG443" s="14"/>
      <c r="AH443" s="10"/>
      <c r="AI443" s="92"/>
      <c r="AJ443" s="32"/>
      <c r="AK443" s="92"/>
      <c r="AL443" s="92"/>
      <c r="AM443" s="92"/>
      <c r="AN443" s="92"/>
      <c r="AO443" s="92"/>
      <c r="AP443" s="92"/>
      <c r="AQ443" s="92"/>
      <c r="AR443" s="92"/>
      <c r="AS443" s="92"/>
      <c r="AT443" s="92"/>
      <c r="AU443" s="92"/>
      <c r="AV443" s="92"/>
      <c r="AW443" s="92"/>
      <c r="AX443" s="92"/>
      <c r="AY443" s="92"/>
      <c r="AZ443" s="92"/>
      <c r="BA443" s="92"/>
      <c r="BB443" s="92"/>
      <c r="BC443" s="92"/>
      <c r="BD443" s="92"/>
      <c r="BE443" s="92"/>
      <c r="BF443" s="92"/>
      <c r="BG443" s="92"/>
      <c r="BH443" s="92"/>
      <c r="BI443" s="92"/>
      <c r="BJ443" s="92"/>
      <c r="BK443" s="92"/>
      <c r="BL443" s="92"/>
      <c r="BM443" s="92"/>
      <c r="BN443" s="92"/>
      <c r="BO443" s="92"/>
      <c r="BP443" s="92"/>
      <c r="BQ443" s="92"/>
      <c r="BR443" s="92"/>
      <c r="BS443" s="92"/>
      <c r="BT443" s="92"/>
      <c r="BU443" s="92"/>
      <c r="BV443" s="92"/>
      <c r="BW443" s="92"/>
      <c r="BX443" s="92"/>
      <c r="BY443" s="92"/>
      <c r="BZ443" s="92"/>
      <c r="CA443" s="92"/>
      <c r="CB443" s="92"/>
      <c r="CC443" s="92"/>
      <c r="CD443" s="92"/>
      <c r="CE443" s="92"/>
      <c r="CF443" s="92"/>
      <c r="CG443" s="92"/>
      <c r="CH443" s="92"/>
      <c r="CI443" s="92"/>
      <c r="CJ443" s="92"/>
      <c r="CK443" s="92"/>
      <c r="CL443" s="92"/>
      <c r="CM443" s="92"/>
      <c r="CN443" s="92"/>
      <c r="CO443" s="92"/>
      <c r="CP443" s="92"/>
      <c r="CQ443" s="92"/>
      <c r="CR443" s="92"/>
      <c r="CS443" s="92"/>
      <c r="CT443" s="92"/>
      <c r="CU443" s="92"/>
      <c r="CV443" s="92"/>
      <c r="CW443" s="92"/>
      <c r="CX443" s="92"/>
      <c r="CY443" s="92"/>
      <c r="CZ443" s="92"/>
      <c r="DA443" s="92"/>
      <c r="DB443" s="92"/>
      <c r="DC443" s="92"/>
      <c r="DD443" s="92"/>
      <c r="DE443" s="92"/>
      <c r="DF443" s="92"/>
      <c r="DG443" s="92"/>
      <c r="DH443" s="92"/>
      <c r="DI443" s="92"/>
      <c r="DJ443" s="92"/>
      <c r="DK443" s="92"/>
      <c r="DL443" s="92"/>
      <c r="DM443" s="92"/>
      <c r="DN443" s="92"/>
      <c r="DO443" s="92"/>
      <c r="DP443" s="92"/>
      <c r="DQ443" s="92"/>
      <c r="DR443" s="92"/>
      <c r="DS443" s="92"/>
      <c r="DT443" s="92"/>
      <c r="DU443" s="92"/>
      <c r="DV443" s="92"/>
      <c r="DW443" s="92"/>
      <c r="DX443" s="92"/>
      <c r="DY443" s="92"/>
      <c r="DZ443" s="92"/>
      <c r="EA443" s="92"/>
      <c r="EB443" s="92"/>
      <c r="EC443" s="92"/>
      <c r="ED443" s="92"/>
      <c r="EE443" s="92"/>
      <c r="EF443" s="92"/>
      <c r="EG443" s="92"/>
      <c r="EH443" s="92"/>
      <c r="EI443" s="92"/>
      <c r="EJ443" s="92"/>
      <c r="EK443" s="92"/>
      <c r="EL443" s="92"/>
      <c r="EM443" s="92"/>
      <c r="EN443" s="92"/>
      <c r="EO443" s="92"/>
      <c r="EP443" s="92"/>
      <c r="EQ443" s="92"/>
      <c r="ER443" s="92"/>
      <c r="ES443" s="92"/>
      <c r="ET443" s="92"/>
      <c r="EU443" s="92"/>
      <c r="EV443" s="92"/>
      <c r="EW443" s="92"/>
      <c r="EX443" s="92"/>
      <c r="EY443" s="92"/>
      <c r="EZ443" s="92"/>
      <c r="FA443" s="92"/>
      <c r="FB443" s="92"/>
      <c r="FC443" s="92"/>
      <c r="FD443" s="92"/>
      <c r="FE443" s="92"/>
      <c r="FF443" s="92"/>
      <c r="FG443" s="92"/>
      <c r="FH443" s="92"/>
      <c r="FI443" s="92"/>
      <c r="FJ443" s="92"/>
      <c r="FK443" s="92"/>
      <c r="FL443" s="92"/>
      <c r="FM443" s="92"/>
      <c r="FN443" s="92"/>
      <c r="FO443" s="92"/>
      <c r="FP443" s="92"/>
    </row>
    <row r="444" spans="1:172" s="74" customFormat="1" ht="15" customHeight="1" x14ac:dyDescent="0.15">
      <c r="A444" s="10" t="s">
        <v>174</v>
      </c>
      <c r="B444" s="9">
        <v>10.6</v>
      </c>
      <c r="C444" s="9">
        <v>14.9</v>
      </c>
      <c r="D444" s="13">
        <v>12.75</v>
      </c>
      <c r="E444" s="9">
        <v>9.86</v>
      </c>
      <c r="F444" s="9">
        <v>39.75</v>
      </c>
      <c r="G444" s="34">
        <v>30</v>
      </c>
      <c r="H444" s="9">
        <v>1.5</v>
      </c>
      <c r="I444" s="9">
        <v>7.1</v>
      </c>
      <c r="J444" s="9">
        <v>16.600000000000001</v>
      </c>
      <c r="K444" s="9">
        <v>6.6</v>
      </c>
      <c r="L444" s="13">
        <v>-83.8</v>
      </c>
      <c r="M444" s="13">
        <v>26.9</v>
      </c>
      <c r="N444" s="9">
        <v>27.7</v>
      </c>
      <c r="O444" s="9">
        <v>5.0999999999999996</v>
      </c>
      <c r="P444" s="9" t="s">
        <v>1203</v>
      </c>
      <c r="Q444" s="9" t="s">
        <v>1203</v>
      </c>
      <c r="R444" s="7">
        <v>715</v>
      </c>
      <c r="S444" s="13">
        <v>-83.8</v>
      </c>
      <c r="T444" s="13">
        <v>26.9</v>
      </c>
      <c r="U444" s="9">
        <v>0</v>
      </c>
      <c r="V444" s="9">
        <v>0</v>
      </c>
      <c r="W444" s="9">
        <v>0</v>
      </c>
      <c r="X444" s="7" t="s">
        <v>1202</v>
      </c>
      <c r="Y444" s="10"/>
      <c r="Z444" s="10"/>
      <c r="AA444" s="10" t="b">
        <v>1</v>
      </c>
      <c r="AB444" s="7">
        <v>0</v>
      </c>
      <c r="AC444" s="14" t="s">
        <v>1436</v>
      </c>
      <c r="AD444" s="7"/>
      <c r="AE444" s="7" t="s">
        <v>1369</v>
      </c>
      <c r="AF444" s="10" t="s">
        <v>200</v>
      </c>
      <c r="AG444" s="14"/>
      <c r="AH444" s="10"/>
      <c r="AI444" s="92"/>
      <c r="AJ444" s="32"/>
      <c r="AK444" s="92"/>
      <c r="AL444" s="92"/>
      <c r="AM444" s="92"/>
      <c r="AN444" s="92"/>
      <c r="AO444" s="92"/>
      <c r="AP444" s="92"/>
      <c r="AQ444" s="92"/>
      <c r="AR444" s="92"/>
      <c r="AS444" s="92"/>
      <c r="AT444" s="92"/>
      <c r="AU444" s="92"/>
      <c r="AV444" s="92"/>
      <c r="AW444" s="92"/>
      <c r="AX444" s="92"/>
      <c r="AY444" s="92"/>
      <c r="AZ444" s="92"/>
      <c r="BA444" s="92"/>
      <c r="BB444" s="92"/>
      <c r="BC444" s="92"/>
      <c r="BD444" s="92"/>
      <c r="BE444" s="92"/>
      <c r="BF444" s="92"/>
      <c r="BG444" s="92"/>
      <c r="BH444" s="92"/>
      <c r="BI444" s="92"/>
      <c r="BJ444" s="92"/>
      <c r="BK444" s="92"/>
      <c r="BL444" s="92"/>
      <c r="BM444" s="92"/>
      <c r="BN444" s="92"/>
      <c r="BO444" s="92"/>
      <c r="BP444" s="92"/>
      <c r="BQ444" s="92"/>
      <c r="BR444" s="92"/>
      <c r="BS444" s="92"/>
      <c r="BT444" s="92"/>
      <c r="BU444" s="92"/>
      <c r="BV444" s="92"/>
      <c r="BW444" s="92"/>
      <c r="BX444" s="92"/>
      <c r="BY444" s="92"/>
      <c r="BZ444" s="92"/>
      <c r="CA444" s="92"/>
      <c r="CB444" s="92"/>
      <c r="CC444" s="92"/>
      <c r="CD444" s="92"/>
      <c r="CE444" s="92"/>
      <c r="CF444" s="92"/>
      <c r="CG444" s="92"/>
      <c r="CH444" s="92"/>
      <c r="CI444" s="92"/>
      <c r="CJ444" s="92"/>
      <c r="CK444" s="92"/>
      <c r="CL444" s="92"/>
      <c r="CM444" s="92"/>
      <c r="CN444" s="92"/>
      <c r="CO444" s="92"/>
      <c r="CP444" s="92"/>
      <c r="CQ444" s="92"/>
      <c r="CR444" s="92"/>
      <c r="CS444" s="92"/>
      <c r="CT444" s="92"/>
      <c r="CU444" s="92"/>
      <c r="CV444" s="92"/>
      <c r="CW444" s="92"/>
      <c r="CX444" s="92"/>
      <c r="CY444" s="92"/>
      <c r="CZ444" s="92"/>
      <c r="DA444" s="92"/>
      <c r="DB444" s="92"/>
      <c r="DC444" s="92"/>
      <c r="DD444" s="92"/>
      <c r="DE444" s="92"/>
      <c r="DF444" s="92"/>
      <c r="DG444" s="92"/>
      <c r="DH444" s="92"/>
      <c r="DI444" s="92"/>
      <c r="DJ444" s="92"/>
      <c r="DK444" s="92"/>
      <c r="DL444" s="92"/>
      <c r="DM444" s="92"/>
      <c r="DN444" s="92"/>
      <c r="DO444" s="92"/>
      <c r="DP444" s="92"/>
      <c r="DQ444" s="92"/>
      <c r="DR444" s="92"/>
      <c r="DS444" s="92"/>
      <c r="DT444" s="92"/>
      <c r="DU444" s="92"/>
      <c r="DV444" s="92"/>
      <c r="DW444" s="92"/>
      <c r="DX444" s="92"/>
      <c r="DY444" s="92"/>
      <c r="DZ444" s="92"/>
      <c r="EA444" s="92"/>
      <c r="EB444" s="92"/>
      <c r="EC444" s="92"/>
      <c r="ED444" s="92"/>
      <c r="EE444" s="92"/>
      <c r="EF444" s="92"/>
      <c r="EG444" s="92"/>
      <c r="EH444" s="92"/>
      <c r="EI444" s="92"/>
      <c r="EJ444" s="92"/>
      <c r="EK444" s="92"/>
      <c r="EL444" s="92"/>
      <c r="EM444" s="92"/>
      <c r="EN444" s="92"/>
      <c r="EO444" s="92"/>
      <c r="EP444" s="92"/>
      <c r="EQ444" s="92"/>
      <c r="ER444" s="92"/>
      <c r="ES444" s="92"/>
      <c r="ET444" s="92"/>
      <c r="EU444" s="92"/>
      <c r="EV444" s="92"/>
      <c r="EW444" s="92"/>
      <c r="EX444" s="92"/>
      <c r="EY444" s="92"/>
      <c r="EZ444" s="92"/>
      <c r="FA444" s="92"/>
      <c r="FB444" s="92"/>
      <c r="FC444" s="92"/>
      <c r="FD444" s="92"/>
      <c r="FE444" s="92"/>
      <c r="FF444" s="92"/>
      <c r="FG444" s="92"/>
      <c r="FH444" s="92"/>
      <c r="FI444" s="92"/>
      <c r="FJ444" s="92"/>
      <c r="FK444" s="92"/>
      <c r="FL444" s="92"/>
      <c r="FM444" s="92"/>
      <c r="FN444" s="92"/>
      <c r="FO444" s="92"/>
      <c r="FP444" s="92"/>
    </row>
    <row r="445" spans="1:172" s="70" customFormat="1" ht="14" customHeight="1" x14ac:dyDescent="0.2">
      <c r="A445" s="56" t="s">
        <v>180</v>
      </c>
      <c r="B445" s="54">
        <v>12.8</v>
      </c>
      <c r="C445" s="54">
        <v>14</v>
      </c>
      <c r="D445" s="58">
        <v>13.4</v>
      </c>
      <c r="E445" s="54">
        <v>35.6</v>
      </c>
      <c r="F445" s="54">
        <v>14.2</v>
      </c>
      <c r="G445" s="53">
        <v>59</v>
      </c>
      <c r="H445" s="54">
        <v>184.2</v>
      </c>
      <c r="I445" s="54">
        <v>-34.6</v>
      </c>
      <c r="J445" s="54">
        <v>51.6</v>
      </c>
      <c r="K445" s="54">
        <v>2.6</v>
      </c>
      <c r="L445" s="55">
        <v>-73</v>
      </c>
      <c r="M445" s="58">
        <v>0.5</v>
      </c>
      <c r="N445" s="54"/>
      <c r="O445" s="54"/>
      <c r="P445" s="54">
        <v>78.881499273612391</v>
      </c>
      <c r="Q445" s="54">
        <v>2.0958247143391704</v>
      </c>
      <c r="R445" s="52">
        <v>715</v>
      </c>
      <c r="S445" s="55">
        <v>-72.999999999999901</v>
      </c>
      <c r="T445" s="55">
        <v>0.499999999999999</v>
      </c>
      <c r="U445" s="54">
        <v>0</v>
      </c>
      <c r="V445" s="54">
        <v>0</v>
      </c>
      <c r="W445" s="54">
        <v>0</v>
      </c>
      <c r="X445" s="52" t="s">
        <v>1204</v>
      </c>
      <c r="Y445" s="56"/>
      <c r="Z445" s="56"/>
      <c r="AA445" s="56" t="b">
        <v>0</v>
      </c>
      <c r="AB445" s="52" t="s">
        <v>165</v>
      </c>
      <c r="AC445" s="49" t="s">
        <v>181</v>
      </c>
      <c r="AD445" s="52"/>
      <c r="AE445" s="52" t="s">
        <v>147</v>
      </c>
      <c r="AF445" s="56" t="s">
        <v>1256</v>
      </c>
      <c r="AG445" s="49"/>
      <c r="AH445" s="56"/>
      <c r="AI445" s="17"/>
      <c r="AJ445" s="32"/>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c r="EC445" s="17"/>
      <c r="ED445" s="17"/>
      <c r="EE445" s="17"/>
      <c r="EF445" s="17"/>
      <c r="EG445" s="17"/>
      <c r="EH445" s="17"/>
      <c r="EI445" s="17"/>
      <c r="EJ445" s="17"/>
      <c r="EK445" s="17"/>
      <c r="EL445" s="17"/>
      <c r="EM445" s="17"/>
      <c r="EN445" s="17"/>
      <c r="EO445" s="17"/>
      <c r="EP445" s="17"/>
      <c r="EQ445" s="17"/>
      <c r="ER445" s="17"/>
      <c r="ES445" s="17"/>
      <c r="ET445" s="17"/>
      <c r="EU445" s="17"/>
      <c r="EV445" s="17"/>
      <c r="EW445" s="17"/>
      <c r="EX445" s="17"/>
      <c r="EY445" s="17"/>
      <c r="EZ445" s="17"/>
      <c r="FA445" s="17"/>
      <c r="FB445" s="17"/>
      <c r="FC445" s="17"/>
      <c r="FD445" s="17"/>
      <c r="FE445" s="17"/>
      <c r="FF445" s="17"/>
      <c r="FG445" s="17"/>
      <c r="FH445" s="17"/>
      <c r="FI445" s="17"/>
      <c r="FJ445" s="17"/>
      <c r="FK445" s="17"/>
      <c r="FL445" s="17"/>
      <c r="FM445" s="17"/>
      <c r="FN445" s="17"/>
      <c r="FO445" s="17"/>
      <c r="FP445" s="17"/>
    </row>
    <row r="446" spans="1:172" s="69" customFormat="1" ht="14" customHeight="1" x14ac:dyDescent="0.2">
      <c r="A446" s="56" t="s">
        <v>227</v>
      </c>
      <c r="B446" s="54">
        <v>23</v>
      </c>
      <c r="C446" s="54">
        <v>35</v>
      </c>
      <c r="D446" s="55">
        <v>29</v>
      </c>
      <c r="E446" s="54">
        <v>29.6</v>
      </c>
      <c r="F446" s="54">
        <v>30.6</v>
      </c>
      <c r="G446" s="53">
        <v>9</v>
      </c>
      <c r="H446" s="54">
        <v>9.6999999999999993</v>
      </c>
      <c r="I446" s="54">
        <v>41.4</v>
      </c>
      <c r="J446" s="54">
        <v>75.599999999999994</v>
      </c>
      <c r="K446" s="54">
        <v>6</v>
      </c>
      <c r="L446" s="55">
        <v>-79.599999999999994</v>
      </c>
      <c r="M446" s="58">
        <v>332.2</v>
      </c>
      <c r="N446" s="54"/>
      <c r="O446" s="54"/>
      <c r="P446" s="61">
        <v>93.681091782895308</v>
      </c>
      <c r="Q446" s="64">
        <v>5.346802799266495</v>
      </c>
      <c r="R446" s="52">
        <v>715</v>
      </c>
      <c r="S446" s="55">
        <v>-79.599999999999994</v>
      </c>
      <c r="T446" s="55">
        <v>332.2</v>
      </c>
      <c r="U446" s="54">
        <v>0</v>
      </c>
      <c r="V446" s="54">
        <v>0</v>
      </c>
      <c r="W446" s="54">
        <v>0</v>
      </c>
      <c r="X446" s="52" t="s">
        <v>1204</v>
      </c>
      <c r="Y446" s="56"/>
      <c r="Z446" s="56"/>
      <c r="AA446" s="56" t="b">
        <v>1</v>
      </c>
      <c r="AB446" s="52" t="s">
        <v>165</v>
      </c>
      <c r="AC446" s="49" t="s">
        <v>228</v>
      </c>
      <c r="AD446" s="52">
        <v>3280</v>
      </c>
      <c r="AE446" s="52" t="s">
        <v>147</v>
      </c>
      <c r="AF446" s="56" t="s">
        <v>1355</v>
      </c>
      <c r="AG446" s="49"/>
      <c r="AH446" s="56"/>
      <c r="AI446" s="12"/>
      <c r="AJ446" s="3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c r="DK446" s="12"/>
      <c r="DL446" s="12"/>
      <c r="DM446" s="12"/>
      <c r="DN446" s="12"/>
      <c r="DO446" s="12"/>
      <c r="DP446" s="12"/>
      <c r="DQ446" s="12"/>
      <c r="DR446" s="12"/>
      <c r="DS446" s="12"/>
      <c r="DT446" s="12"/>
      <c r="DU446" s="12"/>
      <c r="DV446" s="12"/>
      <c r="DW446" s="12"/>
      <c r="DX446" s="12"/>
      <c r="DY446" s="12"/>
      <c r="DZ446" s="12"/>
      <c r="EA446" s="12"/>
      <c r="EB446" s="12"/>
      <c r="EC446" s="12"/>
      <c r="ED446" s="12"/>
      <c r="EE446" s="12"/>
      <c r="EF446" s="12"/>
      <c r="EG446" s="12"/>
      <c r="EH446" s="12"/>
      <c r="EI446" s="12"/>
      <c r="EJ446" s="12"/>
      <c r="EK446" s="12"/>
      <c r="EL446" s="12"/>
      <c r="EM446" s="12"/>
      <c r="EN446" s="12"/>
      <c r="EO446" s="12"/>
      <c r="EP446" s="12"/>
      <c r="EQ446" s="12"/>
      <c r="ER446" s="12"/>
      <c r="ES446" s="12"/>
      <c r="ET446" s="12"/>
      <c r="EU446" s="12"/>
      <c r="EV446" s="12"/>
      <c r="EW446" s="12"/>
      <c r="EX446" s="12"/>
      <c r="EY446" s="12"/>
      <c r="EZ446" s="12"/>
      <c r="FA446" s="12"/>
      <c r="FB446" s="12"/>
      <c r="FC446" s="12"/>
      <c r="FD446" s="12"/>
      <c r="FE446" s="12"/>
      <c r="FF446" s="12"/>
      <c r="FG446" s="12"/>
      <c r="FH446" s="12"/>
      <c r="FI446" s="12"/>
      <c r="FJ446" s="12"/>
      <c r="FK446" s="12"/>
      <c r="FL446" s="12"/>
      <c r="FM446" s="12"/>
      <c r="FN446" s="12"/>
      <c r="FO446" s="12"/>
      <c r="FP446" s="12"/>
    </row>
    <row r="447" spans="1:172" s="69" customFormat="1" ht="14" customHeight="1" x14ac:dyDescent="0.2">
      <c r="A447" s="10" t="s">
        <v>236</v>
      </c>
      <c r="B447" s="9">
        <v>29.2</v>
      </c>
      <c r="C447" s="9">
        <v>30.5</v>
      </c>
      <c r="D447" s="13">
        <v>29.85</v>
      </c>
      <c r="E447" s="9">
        <v>12.4</v>
      </c>
      <c r="F447" s="9">
        <v>37.65</v>
      </c>
      <c r="G447" s="34">
        <v>42</v>
      </c>
      <c r="H447" s="9">
        <v>356.4</v>
      </c>
      <c r="I447" s="9">
        <v>7.1</v>
      </c>
      <c r="J447" s="9">
        <v>26.7</v>
      </c>
      <c r="K447" s="9">
        <v>4.3</v>
      </c>
      <c r="L447" s="13">
        <v>-80.5</v>
      </c>
      <c r="M447" s="13">
        <v>60.6</v>
      </c>
      <c r="N447" s="9">
        <v>44.9</v>
      </c>
      <c r="O447" s="9">
        <v>3.3</v>
      </c>
      <c r="P447" s="9" t="s">
        <v>1203</v>
      </c>
      <c r="Q447" s="9" t="s">
        <v>1203</v>
      </c>
      <c r="R447" s="7">
        <v>715</v>
      </c>
      <c r="S447" s="13">
        <v>-80.5</v>
      </c>
      <c r="T447" s="13">
        <v>60.599999999999902</v>
      </c>
      <c r="U447" s="9">
        <v>0</v>
      </c>
      <c r="V447" s="9">
        <v>0</v>
      </c>
      <c r="W447" s="9">
        <v>0</v>
      </c>
      <c r="X447" s="7" t="s">
        <v>1202</v>
      </c>
      <c r="Y447" s="10"/>
      <c r="Z447" s="10"/>
      <c r="AA447" s="10" t="b">
        <v>1</v>
      </c>
      <c r="AB447" s="7">
        <v>0</v>
      </c>
      <c r="AC447" s="14" t="s">
        <v>1436</v>
      </c>
      <c r="AD447" s="7"/>
      <c r="AE447" s="7" t="s">
        <v>1369</v>
      </c>
      <c r="AF447" s="10" t="s">
        <v>237</v>
      </c>
      <c r="AG447" s="14"/>
      <c r="AH447" s="10"/>
      <c r="AI447" s="12"/>
      <c r="AJ447" s="3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c r="DK447" s="12"/>
      <c r="DL447" s="12"/>
      <c r="DM447" s="12"/>
      <c r="DN447" s="12"/>
      <c r="DO447" s="12"/>
      <c r="DP447" s="12"/>
      <c r="DQ447" s="12"/>
      <c r="DR447" s="12"/>
      <c r="DS447" s="12"/>
      <c r="DT447" s="12"/>
      <c r="DU447" s="12"/>
      <c r="DV447" s="12"/>
      <c r="DW447" s="12"/>
      <c r="DX447" s="12"/>
      <c r="DY447" s="12"/>
      <c r="DZ447" s="12"/>
      <c r="EA447" s="12"/>
      <c r="EB447" s="12"/>
      <c r="EC447" s="12"/>
      <c r="ED447" s="12"/>
      <c r="EE447" s="12"/>
      <c r="EF447" s="12"/>
      <c r="EG447" s="12"/>
      <c r="EH447" s="12"/>
      <c r="EI447" s="12"/>
      <c r="EJ447" s="12"/>
      <c r="EK447" s="12"/>
      <c r="EL447" s="12"/>
      <c r="EM447" s="12"/>
      <c r="EN447" s="12"/>
      <c r="EO447" s="12"/>
      <c r="EP447" s="12"/>
      <c r="EQ447" s="12"/>
      <c r="ER447" s="12"/>
      <c r="ES447" s="12"/>
      <c r="ET447" s="12"/>
      <c r="EU447" s="12"/>
      <c r="EV447" s="12"/>
      <c r="EW447" s="12"/>
      <c r="EX447" s="12"/>
      <c r="EY447" s="12"/>
      <c r="EZ447" s="12"/>
      <c r="FA447" s="12"/>
      <c r="FB447" s="12"/>
      <c r="FC447" s="12"/>
      <c r="FD447" s="12"/>
      <c r="FE447" s="12"/>
      <c r="FF447" s="12"/>
      <c r="FG447" s="12"/>
      <c r="FH447" s="12"/>
      <c r="FI447" s="12"/>
      <c r="FJ447" s="12"/>
      <c r="FK447" s="12"/>
      <c r="FL447" s="12"/>
      <c r="FM447" s="12"/>
      <c r="FN447" s="12"/>
      <c r="FO447" s="12"/>
      <c r="FP447" s="12"/>
    </row>
    <row r="448" spans="1:172" s="69" customFormat="1" ht="14" customHeight="1" x14ac:dyDescent="0.2">
      <c r="A448" s="10" t="s">
        <v>238</v>
      </c>
      <c r="B448" s="9">
        <v>29.4</v>
      </c>
      <c r="C448" s="9">
        <v>30.4</v>
      </c>
      <c r="D448" s="13">
        <v>29.9</v>
      </c>
      <c r="E448" s="9">
        <v>13.2</v>
      </c>
      <c r="F448" s="9">
        <v>37.9</v>
      </c>
      <c r="G448" s="34">
        <v>79</v>
      </c>
      <c r="H448" s="9"/>
      <c r="I448" s="9"/>
      <c r="J448" s="9"/>
      <c r="K448" s="9"/>
      <c r="L448" s="13">
        <v>-78.2</v>
      </c>
      <c r="M448" s="13">
        <v>33</v>
      </c>
      <c r="N448" s="9">
        <v>22.7</v>
      </c>
      <c r="O448" s="7">
        <v>3.4</v>
      </c>
      <c r="P448" s="9" t="s">
        <v>1203</v>
      </c>
      <c r="Q448" s="9" t="s">
        <v>1203</v>
      </c>
      <c r="R448" s="7">
        <v>715</v>
      </c>
      <c r="S448" s="13">
        <v>-78.2</v>
      </c>
      <c r="T448" s="13">
        <v>33</v>
      </c>
      <c r="U448" s="9">
        <v>0</v>
      </c>
      <c r="V448" s="9">
        <v>0</v>
      </c>
      <c r="W448" s="9">
        <v>0</v>
      </c>
      <c r="X448" s="7" t="s">
        <v>1202</v>
      </c>
      <c r="Y448" s="10"/>
      <c r="Z448" s="10"/>
      <c r="AA448" s="10" t="b">
        <v>1</v>
      </c>
      <c r="AB448" s="7">
        <v>0</v>
      </c>
      <c r="AC448" s="14" t="s">
        <v>239</v>
      </c>
      <c r="AD448" s="7"/>
      <c r="AE448" s="7" t="s">
        <v>1369</v>
      </c>
      <c r="AF448" s="10" t="s">
        <v>1260</v>
      </c>
      <c r="AG448" s="14"/>
      <c r="AH448" s="10"/>
      <c r="AI448" s="12"/>
      <c r="AJ448" s="3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c r="DK448" s="12"/>
      <c r="DL448" s="12"/>
      <c r="DM448" s="12"/>
      <c r="DN448" s="12"/>
      <c r="DO448" s="12"/>
      <c r="DP448" s="12"/>
      <c r="DQ448" s="12"/>
      <c r="DR448" s="12"/>
      <c r="DS448" s="12"/>
      <c r="DT448" s="12"/>
      <c r="DU448" s="12"/>
      <c r="DV448" s="12"/>
      <c r="DW448" s="12"/>
      <c r="DX448" s="12"/>
      <c r="DY448" s="12"/>
      <c r="DZ448" s="12"/>
      <c r="EA448" s="12"/>
      <c r="EB448" s="12"/>
      <c r="EC448" s="12"/>
      <c r="ED448" s="12"/>
      <c r="EE448" s="12"/>
      <c r="EF448" s="12"/>
      <c r="EG448" s="12"/>
      <c r="EH448" s="12"/>
      <c r="EI448" s="12"/>
      <c r="EJ448" s="12"/>
      <c r="EK448" s="12"/>
      <c r="EL448" s="12"/>
      <c r="EM448" s="12"/>
      <c r="EN448" s="12"/>
      <c r="EO448" s="12"/>
      <c r="EP448" s="12"/>
      <c r="EQ448" s="12"/>
      <c r="ER448" s="12"/>
      <c r="ES448" s="12"/>
      <c r="ET448" s="12"/>
      <c r="EU448" s="12"/>
      <c r="EV448" s="12"/>
      <c r="EW448" s="12"/>
      <c r="EX448" s="12"/>
      <c r="EY448" s="12"/>
      <c r="EZ448" s="12"/>
      <c r="FA448" s="12"/>
      <c r="FB448" s="12"/>
      <c r="FC448" s="12"/>
      <c r="FD448" s="12"/>
      <c r="FE448" s="12"/>
      <c r="FF448" s="12"/>
      <c r="FG448" s="12"/>
      <c r="FH448" s="12"/>
      <c r="FI448" s="12"/>
      <c r="FJ448" s="12"/>
      <c r="FK448" s="12"/>
      <c r="FL448" s="12"/>
      <c r="FM448" s="12"/>
      <c r="FN448" s="12"/>
      <c r="FO448" s="12"/>
      <c r="FP448" s="12"/>
    </row>
    <row r="449" spans="1:172" s="69" customFormat="1" ht="14" customHeight="1" x14ac:dyDescent="0.2">
      <c r="A449" s="10" t="s">
        <v>243</v>
      </c>
      <c r="B449" s="9">
        <v>29</v>
      </c>
      <c r="C449" s="9">
        <v>31</v>
      </c>
      <c r="D449" s="13">
        <v>30</v>
      </c>
      <c r="E449" s="9">
        <v>12.4</v>
      </c>
      <c r="F449" s="9">
        <v>38.6</v>
      </c>
      <c r="G449" s="34">
        <v>53</v>
      </c>
      <c r="H449" s="9">
        <v>181.2</v>
      </c>
      <c r="I449" s="9">
        <v>-0.7</v>
      </c>
      <c r="J449" s="9">
        <v>28.9</v>
      </c>
      <c r="K449" s="9">
        <v>3.7</v>
      </c>
      <c r="L449" s="13">
        <v>-77</v>
      </c>
      <c r="M449" s="13">
        <v>28</v>
      </c>
      <c r="N449" s="9">
        <v>28.9</v>
      </c>
      <c r="O449" s="9">
        <v>3.7</v>
      </c>
      <c r="P449" s="9" t="s">
        <v>1203</v>
      </c>
      <c r="Q449" s="9" t="s">
        <v>1203</v>
      </c>
      <c r="R449" s="7">
        <v>715</v>
      </c>
      <c r="S449" s="13">
        <v>-77</v>
      </c>
      <c r="T449" s="13">
        <v>28</v>
      </c>
      <c r="U449" s="9">
        <v>0</v>
      </c>
      <c r="V449" s="9">
        <v>0</v>
      </c>
      <c r="W449" s="9">
        <v>0</v>
      </c>
      <c r="X449" s="7" t="s">
        <v>1202</v>
      </c>
      <c r="Y449" s="10"/>
      <c r="Z449" s="10"/>
      <c r="AA449" s="10" t="b">
        <v>1</v>
      </c>
      <c r="AB449" s="7">
        <v>0</v>
      </c>
      <c r="AC449" s="14" t="s">
        <v>244</v>
      </c>
      <c r="AD449" s="7">
        <v>3209</v>
      </c>
      <c r="AE449" s="7" t="s">
        <v>147</v>
      </c>
      <c r="AF449" s="10" t="s">
        <v>245</v>
      </c>
      <c r="AG449" s="14" t="s">
        <v>1285</v>
      </c>
      <c r="AH449" s="10"/>
      <c r="AI449" s="12"/>
      <c r="AJ449" s="3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c r="DK449" s="12"/>
      <c r="DL449" s="12"/>
      <c r="DM449" s="12"/>
      <c r="DN449" s="12"/>
      <c r="DO449" s="12"/>
      <c r="DP449" s="12"/>
      <c r="DQ449" s="12"/>
      <c r="DR449" s="12"/>
      <c r="DS449" s="12"/>
      <c r="DT449" s="12"/>
      <c r="DU449" s="12"/>
      <c r="DV449" s="12"/>
      <c r="DW449" s="12"/>
      <c r="DX449" s="12"/>
      <c r="DY449" s="12"/>
      <c r="DZ449" s="12"/>
      <c r="EA449" s="12"/>
      <c r="EB449" s="12"/>
      <c r="EC449" s="12"/>
      <c r="ED449" s="12"/>
      <c r="EE449" s="12"/>
      <c r="EF449" s="12"/>
      <c r="EG449" s="12"/>
      <c r="EH449" s="12"/>
      <c r="EI449" s="12"/>
      <c r="EJ449" s="12"/>
      <c r="EK449" s="12"/>
      <c r="EL449" s="12"/>
      <c r="EM449" s="12"/>
      <c r="EN449" s="12"/>
      <c r="EO449" s="12"/>
      <c r="EP449" s="12"/>
      <c r="EQ449" s="12"/>
      <c r="ER449" s="12"/>
      <c r="ES449" s="12"/>
      <c r="ET449" s="12"/>
      <c r="EU449" s="12"/>
      <c r="EV449" s="12"/>
      <c r="EW449" s="12"/>
      <c r="EX449" s="12"/>
      <c r="EY449" s="12"/>
      <c r="EZ449" s="12"/>
      <c r="FA449" s="12"/>
      <c r="FB449" s="12"/>
      <c r="FC449" s="12"/>
      <c r="FD449" s="12"/>
      <c r="FE449" s="12"/>
      <c r="FF449" s="12"/>
      <c r="FG449" s="12"/>
      <c r="FH449" s="12"/>
      <c r="FI449" s="12"/>
      <c r="FJ449" s="12"/>
      <c r="FK449" s="12"/>
      <c r="FL449" s="12"/>
      <c r="FM449" s="12"/>
      <c r="FN449" s="12"/>
      <c r="FO449" s="12"/>
      <c r="FP449" s="12"/>
    </row>
    <row r="450" spans="1:172" s="69" customFormat="1" ht="14" customHeight="1" x14ac:dyDescent="0.2">
      <c r="A450" s="14" t="s">
        <v>240</v>
      </c>
      <c r="B450" s="9">
        <v>29</v>
      </c>
      <c r="C450" s="9">
        <v>31</v>
      </c>
      <c r="D450" s="13">
        <v>30</v>
      </c>
      <c r="E450" s="9">
        <v>9.6999999999999993</v>
      </c>
      <c r="F450" s="9">
        <v>38.799999999999997</v>
      </c>
      <c r="G450" s="34">
        <v>16</v>
      </c>
      <c r="H450" s="9">
        <v>3.1</v>
      </c>
      <c r="I450" s="9">
        <v>5.8</v>
      </c>
      <c r="J450" s="9">
        <v>9.4</v>
      </c>
      <c r="K450" s="9">
        <v>12.7</v>
      </c>
      <c r="L450" s="13">
        <v>-83</v>
      </c>
      <c r="M450" s="6">
        <v>13.3</v>
      </c>
      <c r="N450" s="9">
        <v>17.8</v>
      </c>
      <c r="O450" s="9">
        <v>9</v>
      </c>
      <c r="P450" s="9" t="s">
        <v>1203</v>
      </c>
      <c r="Q450" s="9" t="s">
        <v>1203</v>
      </c>
      <c r="R450" s="7">
        <v>715</v>
      </c>
      <c r="S450" s="13">
        <v>-82.999999999999901</v>
      </c>
      <c r="T450" s="13">
        <v>13.3</v>
      </c>
      <c r="U450" s="9">
        <v>0</v>
      </c>
      <c r="V450" s="9">
        <v>0</v>
      </c>
      <c r="W450" s="9">
        <v>0</v>
      </c>
      <c r="X450" s="7" t="s">
        <v>1202</v>
      </c>
      <c r="Y450" s="10"/>
      <c r="Z450" s="10"/>
      <c r="AA450" s="10" t="b">
        <v>1</v>
      </c>
      <c r="AB450" s="7">
        <v>0</v>
      </c>
      <c r="AC450" s="14" t="s">
        <v>241</v>
      </c>
      <c r="AD450" s="7">
        <v>3496</v>
      </c>
      <c r="AE450" s="7" t="s">
        <v>147</v>
      </c>
      <c r="AF450" s="10" t="s">
        <v>242</v>
      </c>
      <c r="AG450" s="14"/>
      <c r="AH450" s="10"/>
      <c r="AI450" s="12"/>
      <c r="AJ450" s="3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c r="DB450" s="12"/>
      <c r="DC450" s="12"/>
      <c r="DD450" s="12"/>
      <c r="DE450" s="12"/>
      <c r="DF450" s="12"/>
      <c r="DG450" s="12"/>
      <c r="DH450" s="12"/>
      <c r="DI450" s="12"/>
      <c r="DJ450" s="12"/>
      <c r="DK450" s="12"/>
      <c r="DL450" s="12"/>
      <c r="DM450" s="12"/>
      <c r="DN450" s="12"/>
      <c r="DO450" s="12"/>
      <c r="DP450" s="12"/>
      <c r="DQ450" s="12"/>
      <c r="DR450" s="12"/>
      <c r="DS450" s="12"/>
      <c r="DT450" s="12"/>
      <c r="DU450" s="12"/>
      <c r="DV450" s="12"/>
      <c r="DW450" s="12"/>
      <c r="DX450" s="12"/>
      <c r="DY450" s="12"/>
      <c r="DZ450" s="12"/>
      <c r="EA450" s="12"/>
      <c r="EB450" s="12"/>
      <c r="EC450" s="12"/>
      <c r="ED450" s="12"/>
      <c r="EE450" s="12"/>
      <c r="EF450" s="12"/>
      <c r="EG450" s="12"/>
      <c r="EH450" s="12"/>
      <c r="EI450" s="12"/>
      <c r="EJ450" s="12"/>
      <c r="EK450" s="12"/>
      <c r="EL450" s="12"/>
      <c r="EM450" s="12"/>
      <c r="EN450" s="12"/>
      <c r="EO450" s="12"/>
      <c r="EP450" s="12"/>
      <c r="EQ450" s="12"/>
      <c r="ER450" s="12"/>
      <c r="ES450" s="12"/>
      <c r="ET450" s="12"/>
      <c r="EU450" s="12"/>
      <c r="EV450" s="12"/>
      <c r="EW450" s="12"/>
      <c r="EX450" s="12"/>
      <c r="EY450" s="12"/>
      <c r="EZ450" s="12"/>
      <c r="FA450" s="12"/>
      <c r="FB450" s="12"/>
      <c r="FC450" s="12"/>
      <c r="FD450" s="12"/>
      <c r="FE450" s="12"/>
      <c r="FF450" s="12"/>
      <c r="FG450" s="12"/>
      <c r="FH450" s="12"/>
      <c r="FI450" s="12"/>
      <c r="FJ450" s="12"/>
      <c r="FK450" s="12"/>
      <c r="FL450" s="12"/>
      <c r="FM450" s="12"/>
      <c r="FN450" s="12"/>
      <c r="FO450" s="12"/>
      <c r="FP450" s="12"/>
    </row>
    <row r="451" spans="1:172" s="69" customFormat="1" ht="14" customHeight="1" x14ac:dyDescent="0.2">
      <c r="A451" s="49" t="s">
        <v>258</v>
      </c>
      <c r="B451" s="54">
        <v>35</v>
      </c>
      <c r="C451" s="54">
        <v>39</v>
      </c>
      <c r="D451" s="55">
        <v>37</v>
      </c>
      <c r="E451" s="54">
        <v>28.2</v>
      </c>
      <c r="F451" s="54">
        <v>28.9</v>
      </c>
      <c r="G451" s="53">
        <v>9</v>
      </c>
      <c r="H451" s="54">
        <v>188</v>
      </c>
      <c r="I451" s="54">
        <v>43.6</v>
      </c>
      <c r="J451" s="54">
        <v>64.8</v>
      </c>
      <c r="K451" s="54">
        <v>6.4</v>
      </c>
      <c r="L451" s="55">
        <v>-83.5</v>
      </c>
      <c r="M451" s="58">
        <v>318.60000000000002</v>
      </c>
      <c r="N451" s="54">
        <v>55.1</v>
      </c>
      <c r="O451" s="54">
        <v>7</v>
      </c>
      <c r="P451" s="54" t="s">
        <v>1203</v>
      </c>
      <c r="Q451" s="54" t="s">
        <v>1203</v>
      </c>
      <c r="R451" s="52">
        <v>715</v>
      </c>
      <c r="S451" s="55">
        <v>-83.499999999999901</v>
      </c>
      <c r="T451" s="55">
        <v>318.60000000000002</v>
      </c>
      <c r="U451" s="54">
        <v>0</v>
      </c>
      <c r="V451" s="54">
        <v>0</v>
      </c>
      <c r="W451" s="54">
        <v>0</v>
      </c>
      <c r="X451" s="52" t="s">
        <v>217</v>
      </c>
      <c r="Y451" s="56"/>
      <c r="Z451" s="56"/>
      <c r="AA451" s="56" t="b">
        <v>1</v>
      </c>
      <c r="AB451" s="52" t="s">
        <v>218</v>
      </c>
      <c r="AC451" s="49" t="s">
        <v>259</v>
      </c>
      <c r="AD451" s="52">
        <v>1500</v>
      </c>
      <c r="AE451" s="52" t="s">
        <v>147</v>
      </c>
      <c r="AF451" s="56" t="s">
        <v>260</v>
      </c>
      <c r="AG451" s="49"/>
      <c r="AH451" s="56"/>
      <c r="AI451" s="12"/>
      <c r="AJ451" s="3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c r="DK451" s="12"/>
      <c r="DL451" s="12"/>
      <c r="DM451" s="12"/>
      <c r="DN451" s="12"/>
      <c r="DO451" s="12"/>
      <c r="DP451" s="12"/>
      <c r="DQ451" s="12"/>
      <c r="DR451" s="12"/>
      <c r="DS451" s="12"/>
      <c r="DT451" s="12"/>
      <c r="DU451" s="12"/>
      <c r="DV451" s="12"/>
      <c r="DW451" s="12"/>
      <c r="DX451" s="12"/>
      <c r="DY451" s="12"/>
      <c r="DZ451" s="12"/>
      <c r="EA451" s="12"/>
      <c r="EB451" s="12"/>
      <c r="EC451" s="12"/>
      <c r="ED451" s="12"/>
      <c r="EE451" s="12"/>
      <c r="EF451" s="12"/>
      <c r="EG451" s="12"/>
      <c r="EH451" s="12"/>
      <c r="EI451" s="12"/>
      <c r="EJ451" s="12"/>
      <c r="EK451" s="12"/>
      <c r="EL451" s="12"/>
      <c r="EM451" s="12"/>
      <c r="EN451" s="12"/>
      <c r="EO451" s="12"/>
      <c r="EP451" s="12"/>
      <c r="EQ451" s="12"/>
      <c r="ER451" s="12"/>
      <c r="ES451" s="12"/>
      <c r="ET451" s="12"/>
      <c r="EU451" s="12"/>
      <c r="EV451" s="12"/>
      <c r="EW451" s="12"/>
      <c r="EX451" s="12"/>
      <c r="EY451" s="12"/>
      <c r="EZ451" s="12"/>
      <c r="FA451" s="12"/>
      <c r="FB451" s="12"/>
      <c r="FC451" s="12"/>
      <c r="FD451" s="12"/>
      <c r="FE451" s="12"/>
      <c r="FF451" s="12"/>
      <c r="FG451" s="12"/>
      <c r="FH451" s="12"/>
      <c r="FI451" s="12"/>
      <c r="FJ451" s="12"/>
      <c r="FK451" s="12"/>
      <c r="FL451" s="12"/>
      <c r="FM451" s="12"/>
      <c r="FN451" s="12"/>
      <c r="FO451" s="12"/>
      <c r="FP451" s="12"/>
    </row>
    <row r="452" spans="1:172" s="69" customFormat="1" ht="14" customHeight="1" x14ac:dyDescent="0.2">
      <c r="A452" s="56" t="s">
        <v>261</v>
      </c>
      <c r="B452" s="54">
        <v>33</v>
      </c>
      <c r="C452" s="54">
        <v>40</v>
      </c>
      <c r="D452" s="58">
        <v>37.5</v>
      </c>
      <c r="E452" s="54">
        <v>39.5</v>
      </c>
      <c r="F452" s="54">
        <v>30.5</v>
      </c>
      <c r="G452" s="53">
        <v>24</v>
      </c>
      <c r="H452" s="54">
        <v>15</v>
      </c>
      <c r="I452" s="54">
        <v>31</v>
      </c>
      <c r="J452" s="54">
        <v>55</v>
      </c>
      <c r="K452" s="54">
        <v>4</v>
      </c>
      <c r="L452" s="55">
        <v>-71</v>
      </c>
      <c r="M452" s="55">
        <v>340</v>
      </c>
      <c r="N452" s="54"/>
      <c r="O452" s="54"/>
      <c r="P452" s="61">
        <v>92.614170334595457</v>
      </c>
      <c r="Q452" s="64">
        <v>3.0906597985094186</v>
      </c>
      <c r="R452" s="52">
        <v>715</v>
      </c>
      <c r="S452" s="55">
        <v>-71</v>
      </c>
      <c r="T452" s="55">
        <v>340</v>
      </c>
      <c r="U452" s="54">
        <v>0</v>
      </c>
      <c r="V452" s="54">
        <v>0</v>
      </c>
      <c r="W452" s="54">
        <v>0</v>
      </c>
      <c r="X452" s="52" t="s">
        <v>1204</v>
      </c>
      <c r="Y452" s="56"/>
      <c r="Z452" s="56"/>
      <c r="AA452" s="56" t="b">
        <v>0</v>
      </c>
      <c r="AB452" s="52" t="s">
        <v>165</v>
      </c>
      <c r="AC452" s="49" t="s">
        <v>262</v>
      </c>
      <c r="AD452" s="52"/>
      <c r="AE452" s="52" t="s">
        <v>147</v>
      </c>
      <c r="AF452" s="56" t="s">
        <v>260</v>
      </c>
      <c r="AG452" s="49"/>
      <c r="AH452" s="56"/>
      <c r="AI452" s="12"/>
      <c r="AJ452" s="3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c r="DK452" s="12"/>
      <c r="DL452" s="12"/>
      <c r="DM452" s="12"/>
      <c r="DN452" s="12"/>
      <c r="DO452" s="12"/>
      <c r="DP452" s="12"/>
      <c r="DQ452" s="12"/>
      <c r="DR452" s="12"/>
      <c r="DS452" s="12"/>
      <c r="DT452" s="12"/>
      <c r="DU452" s="12"/>
      <c r="DV452" s="12"/>
      <c r="DW452" s="12"/>
      <c r="DX452" s="12"/>
      <c r="DY452" s="12"/>
      <c r="DZ452" s="12"/>
      <c r="EA452" s="12"/>
      <c r="EB452" s="12"/>
      <c r="EC452" s="12"/>
      <c r="ED452" s="12"/>
      <c r="EE452" s="12"/>
      <c r="EF452" s="12"/>
      <c r="EG452" s="12"/>
      <c r="EH452" s="12"/>
      <c r="EI452" s="12"/>
      <c r="EJ452" s="12"/>
      <c r="EK452" s="12"/>
      <c r="EL452" s="12"/>
      <c r="EM452" s="12"/>
      <c r="EN452" s="12"/>
      <c r="EO452" s="12"/>
      <c r="EP452" s="12"/>
      <c r="EQ452" s="12"/>
      <c r="ER452" s="12"/>
      <c r="ES452" s="12"/>
      <c r="ET452" s="12"/>
      <c r="EU452" s="12"/>
      <c r="EV452" s="12"/>
      <c r="EW452" s="12"/>
      <c r="EX452" s="12"/>
      <c r="EY452" s="12"/>
      <c r="EZ452" s="12"/>
      <c r="FA452" s="12"/>
      <c r="FB452" s="12"/>
      <c r="FC452" s="12"/>
      <c r="FD452" s="12"/>
      <c r="FE452" s="12"/>
      <c r="FF452" s="12"/>
      <c r="FG452" s="12"/>
      <c r="FH452" s="12"/>
      <c r="FI452" s="12"/>
      <c r="FJ452" s="12"/>
      <c r="FK452" s="12"/>
      <c r="FL452" s="12"/>
      <c r="FM452" s="12"/>
      <c r="FN452" s="12"/>
      <c r="FO452" s="12"/>
      <c r="FP452" s="12"/>
    </row>
    <row r="453" spans="1:172" s="69" customFormat="1" ht="14" customHeight="1" x14ac:dyDescent="0.2">
      <c r="A453" s="49" t="s">
        <v>270</v>
      </c>
      <c r="B453" s="54">
        <v>35</v>
      </c>
      <c r="C453" s="54">
        <v>50</v>
      </c>
      <c r="D453" s="58">
        <v>42.5</v>
      </c>
      <c r="E453" s="54">
        <v>30</v>
      </c>
      <c r="F453" s="54">
        <v>31.3</v>
      </c>
      <c r="G453" s="53">
        <v>11</v>
      </c>
      <c r="H453" s="54">
        <v>9.6</v>
      </c>
      <c r="I453" s="54">
        <v>38.6</v>
      </c>
      <c r="J453" s="54">
        <v>120.1</v>
      </c>
      <c r="K453" s="54">
        <v>4.2</v>
      </c>
      <c r="L453" s="55">
        <v>-78.099999999999994</v>
      </c>
      <c r="M453" s="58">
        <v>342.8</v>
      </c>
      <c r="N453" s="54"/>
      <c r="O453" s="54"/>
      <c r="P453" s="54">
        <v>162.95130298162138</v>
      </c>
      <c r="Q453" s="54">
        <v>3.5874576227259674</v>
      </c>
      <c r="R453" s="52">
        <v>715</v>
      </c>
      <c r="S453" s="55">
        <v>-78.099999999999994</v>
      </c>
      <c r="T453" s="55">
        <v>342.8</v>
      </c>
      <c r="U453" s="54">
        <v>0</v>
      </c>
      <c r="V453" s="54">
        <v>0</v>
      </c>
      <c r="W453" s="54">
        <v>0</v>
      </c>
      <c r="X453" s="52" t="s">
        <v>1204</v>
      </c>
      <c r="Y453" s="56"/>
      <c r="Z453" s="56"/>
      <c r="AA453" s="56" t="b">
        <v>0</v>
      </c>
      <c r="AB453" s="52" t="s">
        <v>165</v>
      </c>
      <c r="AC453" s="49" t="s">
        <v>228</v>
      </c>
      <c r="AD453" s="52">
        <v>3280</v>
      </c>
      <c r="AE453" s="52" t="s">
        <v>147</v>
      </c>
      <c r="AF453" s="56" t="s">
        <v>1356</v>
      </c>
      <c r="AG453" s="49" t="s">
        <v>1286</v>
      </c>
      <c r="AH453" s="56"/>
      <c r="AI453" s="12"/>
      <c r="AJ453" s="3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c r="DK453" s="12"/>
      <c r="DL453" s="12"/>
      <c r="DM453" s="12"/>
      <c r="DN453" s="12"/>
      <c r="DO453" s="12"/>
      <c r="DP453" s="12"/>
      <c r="DQ453" s="12"/>
      <c r="DR453" s="12"/>
      <c r="DS453" s="12"/>
      <c r="DT453" s="12"/>
      <c r="DU453" s="12"/>
      <c r="DV453" s="12"/>
      <c r="DW453" s="12"/>
      <c r="DX453" s="12"/>
      <c r="DY453" s="12"/>
      <c r="DZ453" s="12"/>
      <c r="EA453" s="12"/>
      <c r="EB453" s="12"/>
      <c r="EC453" s="12"/>
      <c r="ED453" s="12"/>
      <c r="EE453" s="12"/>
      <c r="EF453" s="12"/>
      <c r="EG453" s="12"/>
      <c r="EH453" s="12"/>
      <c r="EI453" s="12"/>
      <c r="EJ453" s="12"/>
      <c r="EK453" s="12"/>
      <c r="EL453" s="12"/>
      <c r="EM453" s="12"/>
      <c r="EN453" s="12"/>
      <c r="EO453" s="12"/>
      <c r="EP453" s="12"/>
      <c r="EQ453" s="12"/>
      <c r="ER453" s="12"/>
      <c r="ES453" s="12"/>
      <c r="ET453" s="12"/>
      <c r="EU453" s="12"/>
      <c r="EV453" s="12"/>
      <c r="EW453" s="12"/>
      <c r="EX453" s="12"/>
      <c r="EY453" s="12"/>
      <c r="EZ453" s="12"/>
      <c r="FA453" s="12"/>
      <c r="FB453" s="12"/>
      <c r="FC453" s="12"/>
      <c r="FD453" s="12"/>
      <c r="FE453" s="12"/>
      <c r="FF453" s="12"/>
      <c r="FG453" s="12"/>
      <c r="FH453" s="12"/>
      <c r="FI453" s="12"/>
      <c r="FJ453" s="12"/>
      <c r="FK453" s="12"/>
      <c r="FL453" s="12"/>
      <c r="FM453" s="12"/>
      <c r="FN453" s="12"/>
      <c r="FO453" s="12"/>
      <c r="FP453" s="12"/>
    </row>
    <row r="454" spans="1:172" s="69" customFormat="1" ht="14" customHeight="1" x14ac:dyDescent="0.2">
      <c r="A454" s="49" t="s">
        <v>271</v>
      </c>
      <c r="B454" s="54">
        <v>39</v>
      </c>
      <c r="C454" s="54">
        <v>50</v>
      </c>
      <c r="D454" s="58">
        <v>44.5</v>
      </c>
      <c r="E454" s="54">
        <v>30</v>
      </c>
      <c r="F454" s="54">
        <v>32.1</v>
      </c>
      <c r="G454" s="53">
        <v>6</v>
      </c>
      <c r="H454" s="54">
        <v>7.9</v>
      </c>
      <c r="I454" s="54">
        <v>20.8</v>
      </c>
      <c r="J454" s="54">
        <v>134.80000000000001</v>
      </c>
      <c r="K454" s="54">
        <v>5.8</v>
      </c>
      <c r="L454" s="55">
        <v>-69.400000000000006</v>
      </c>
      <c r="M454" s="58">
        <v>9.4</v>
      </c>
      <c r="N454" s="54">
        <v>213.1</v>
      </c>
      <c r="O454" s="54">
        <v>4.5999999999999996</v>
      </c>
      <c r="P454" s="54" t="s">
        <v>1203</v>
      </c>
      <c r="Q454" s="54" t="s">
        <v>1203</v>
      </c>
      <c r="R454" s="52">
        <v>715</v>
      </c>
      <c r="S454" s="55">
        <v>-69.400000000000006</v>
      </c>
      <c r="T454" s="55">
        <v>9.4</v>
      </c>
      <c r="U454" s="54">
        <v>0</v>
      </c>
      <c r="V454" s="54">
        <v>0</v>
      </c>
      <c r="W454" s="54">
        <v>0</v>
      </c>
      <c r="X454" s="52" t="s">
        <v>1202</v>
      </c>
      <c r="Y454" s="56"/>
      <c r="Z454" s="56"/>
      <c r="AA454" s="56" t="b">
        <v>0</v>
      </c>
      <c r="AB454" s="52">
        <v>0</v>
      </c>
      <c r="AC454" s="49" t="s">
        <v>272</v>
      </c>
      <c r="AD454" s="52">
        <v>1141</v>
      </c>
      <c r="AE454" s="52" t="s">
        <v>147</v>
      </c>
      <c r="AF454" s="56" t="s">
        <v>1336</v>
      </c>
      <c r="AG454" s="49"/>
      <c r="AH454" s="56"/>
      <c r="AI454" s="12"/>
      <c r="AJ454" s="3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c r="DK454" s="12"/>
      <c r="DL454" s="12"/>
      <c r="DM454" s="12"/>
      <c r="DN454" s="12"/>
      <c r="DO454" s="12"/>
      <c r="DP454" s="12"/>
      <c r="DQ454" s="12"/>
      <c r="DR454" s="12"/>
      <c r="DS454" s="12"/>
      <c r="DT454" s="12"/>
      <c r="DU454" s="12"/>
      <c r="DV454" s="12"/>
      <c r="DW454" s="12"/>
      <c r="DX454" s="12"/>
      <c r="DY454" s="12"/>
      <c r="DZ454" s="12"/>
      <c r="EA454" s="12"/>
      <c r="EB454" s="12"/>
      <c r="EC454" s="12"/>
      <c r="ED454" s="12"/>
      <c r="EE454" s="12"/>
      <c r="EF454" s="12"/>
      <c r="EG454" s="12"/>
      <c r="EH454" s="12"/>
      <c r="EI454" s="12"/>
      <c r="EJ454" s="12"/>
      <c r="EK454" s="12"/>
      <c r="EL454" s="12"/>
      <c r="EM454" s="12"/>
      <c r="EN454" s="12"/>
      <c r="EO454" s="12"/>
      <c r="EP454" s="12"/>
      <c r="EQ454" s="12"/>
      <c r="ER454" s="12"/>
      <c r="ES454" s="12"/>
      <c r="ET454" s="12"/>
      <c r="EU454" s="12"/>
      <c r="EV454" s="12"/>
      <c r="EW454" s="12"/>
      <c r="EX454" s="12"/>
      <c r="EY454" s="12"/>
      <c r="EZ454" s="12"/>
      <c r="FA454" s="12"/>
      <c r="FB454" s="12"/>
      <c r="FC454" s="12"/>
      <c r="FD454" s="12"/>
      <c r="FE454" s="12"/>
      <c r="FF454" s="12"/>
      <c r="FG454" s="12"/>
      <c r="FH454" s="12"/>
      <c r="FI454" s="12"/>
      <c r="FJ454" s="12"/>
      <c r="FK454" s="12"/>
      <c r="FL454" s="12"/>
      <c r="FM454" s="12"/>
      <c r="FN454" s="12"/>
      <c r="FO454" s="12"/>
      <c r="FP454" s="12"/>
    </row>
    <row r="455" spans="1:172" s="69" customFormat="1" ht="14" customHeight="1" x14ac:dyDescent="0.2">
      <c r="A455" s="56" t="s">
        <v>261</v>
      </c>
      <c r="B455" s="54">
        <v>40.4</v>
      </c>
      <c r="C455" s="54">
        <v>48.6</v>
      </c>
      <c r="D455" s="58">
        <v>44.5</v>
      </c>
      <c r="E455" s="54">
        <v>29.5</v>
      </c>
      <c r="F455" s="54">
        <v>30.5</v>
      </c>
      <c r="G455" s="53">
        <v>14</v>
      </c>
      <c r="H455" s="54">
        <v>18</v>
      </c>
      <c r="I455" s="54">
        <v>28</v>
      </c>
      <c r="J455" s="54">
        <v>43</v>
      </c>
      <c r="K455" s="54">
        <v>6</v>
      </c>
      <c r="L455" s="55">
        <v>-68</v>
      </c>
      <c r="M455" s="55">
        <v>338</v>
      </c>
      <c r="N455" s="54"/>
      <c r="O455" s="54"/>
      <c r="P455" s="54">
        <v>77.863882460835526</v>
      </c>
      <c r="Q455" s="54">
        <v>4.5328941937555403</v>
      </c>
      <c r="R455" s="52">
        <v>715</v>
      </c>
      <c r="S455" s="55">
        <v>-68</v>
      </c>
      <c r="T455" s="55">
        <v>338</v>
      </c>
      <c r="U455" s="54">
        <v>0</v>
      </c>
      <c r="V455" s="54">
        <v>0</v>
      </c>
      <c r="W455" s="54">
        <v>0</v>
      </c>
      <c r="X455" s="52" t="s">
        <v>1204</v>
      </c>
      <c r="Y455" s="56"/>
      <c r="Z455" s="56"/>
      <c r="AA455" s="56" t="b">
        <v>1</v>
      </c>
      <c r="AB455" s="52" t="s">
        <v>165</v>
      </c>
      <c r="AC455" s="49" t="s">
        <v>262</v>
      </c>
      <c r="AD455" s="52"/>
      <c r="AE455" s="52" t="s">
        <v>147</v>
      </c>
      <c r="AF455" s="56" t="s">
        <v>1287</v>
      </c>
      <c r="AG455" s="49"/>
      <c r="AH455" s="56" t="s">
        <v>1426</v>
      </c>
      <c r="AI455" s="12"/>
      <c r="AJ455" s="3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c r="DK455" s="12"/>
      <c r="DL455" s="12"/>
      <c r="DM455" s="12"/>
      <c r="DN455" s="12"/>
      <c r="DO455" s="12"/>
      <c r="DP455" s="12"/>
      <c r="DQ455" s="12"/>
      <c r="DR455" s="12"/>
      <c r="DS455" s="12"/>
      <c r="DT455" s="12"/>
      <c r="DU455" s="12"/>
      <c r="DV455" s="12"/>
      <c r="DW455" s="12"/>
      <c r="DX455" s="12"/>
      <c r="DY455" s="12"/>
      <c r="DZ455" s="12"/>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c r="EY455" s="12"/>
      <c r="EZ455" s="12"/>
      <c r="FA455" s="12"/>
      <c r="FB455" s="12"/>
      <c r="FC455" s="12"/>
      <c r="FD455" s="12"/>
      <c r="FE455" s="12"/>
      <c r="FF455" s="12"/>
      <c r="FG455" s="12"/>
      <c r="FH455" s="12"/>
      <c r="FI455" s="12"/>
      <c r="FJ455" s="12"/>
      <c r="FK455" s="12"/>
      <c r="FL455" s="12"/>
      <c r="FM455" s="12"/>
      <c r="FN455" s="12"/>
      <c r="FO455" s="12"/>
      <c r="FP455" s="12"/>
    </row>
    <row r="456" spans="1:172" s="69" customFormat="1" ht="14" customHeight="1" x14ac:dyDescent="0.2">
      <c r="A456" s="14" t="s">
        <v>305</v>
      </c>
      <c r="B456" s="9">
        <v>57.3</v>
      </c>
      <c r="C456" s="9">
        <v>60.7</v>
      </c>
      <c r="D456" s="13">
        <v>59</v>
      </c>
      <c r="E456" s="9">
        <v>23.25</v>
      </c>
      <c r="F456" s="9">
        <v>27.33</v>
      </c>
      <c r="G456" s="34">
        <v>13</v>
      </c>
      <c r="H456" s="9">
        <v>1.2</v>
      </c>
      <c r="I456" s="9">
        <v>9.8000000000000007</v>
      </c>
      <c r="J456" s="9">
        <v>47</v>
      </c>
      <c r="K456" s="9">
        <v>6.3</v>
      </c>
      <c r="L456" s="13">
        <v>-71.7</v>
      </c>
      <c r="M456" s="13">
        <v>23.5</v>
      </c>
      <c r="N456" s="9">
        <v>80</v>
      </c>
      <c r="O456" s="9">
        <v>4.7</v>
      </c>
      <c r="P456" s="9" t="s">
        <v>1203</v>
      </c>
      <c r="Q456" s="9" t="s">
        <v>1203</v>
      </c>
      <c r="R456" s="7">
        <v>715</v>
      </c>
      <c r="S456" s="13">
        <v>-71.7</v>
      </c>
      <c r="T456" s="13">
        <v>23.5</v>
      </c>
      <c r="U456" s="9">
        <v>0</v>
      </c>
      <c r="V456" s="9">
        <v>0</v>
      </c>
      <c r="W456" s="9">
        <v>0</v>
      </c>
      <c r="X456" s="7" t="s">
        <v>1202</v>
      </c>
      <c r="Y456" s="7"/>
      <c r="Z456" s="7"/>
      <c r="AA456" s="10" t="b">
        <v>1</v>
      </c>
      <c r="AB456" s="7">
        <v>0</v>
      </c>
      <c r="AC456" s="14" t="s">
        <v>306</v>
      </c>
      <c r="AD456" s="30"/>
      <c r="AE456" s="7" t="s">
        <v>1369</v>
      </c>
      <c r="AF456" s="10" t="s">
        <v>307</v>
      </c>
      <c r="AG456" s="14"/>
      <c r="AH456" s="10"/>
      <c r="AI456" s="12"/>
      <c r="AJ456" s="3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c r="DK456" s="12"/>
      <c r="DL456" s="12"/>
      <c r="DM456" s="12"/>
      <c r="DN456" s="12"/>
      <c r="DO456" s="12"/>
      <c r="DP456" s="12"/>
      <c r="DQ456" s="12"/>
      <c r="DR456" s="12"/>
      <c r="DS456" s="12"/>
      <c r="DT456" s="12"/>
      <c r="DU456" s="12"/>
      <c r="DV456" s="12"/>
      <c r="DW456" s="12"/>
      <c r="DX456" s="12"/>
      <c r="DY456" s="12"/>
      <c r="DZ456" s="12"/>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c r="EY456" s="12"/>
      <c r="EZ456" s="12"/>
      <c r="FA456" s="12"/>
      <c r="FB456" s="12"/>
      <c r="FC456" s="12"/>
      <c r="FD456" s="12"/>
      <c r="FE456" s="12"/>
      <c r="FF456" s="12"/>
      <c r="FG456" s="12"/>
      <c r="FH456" s="12"/>
      <c r="FI456" s="12"/>
      <c r="FJ456" s="12"/>
      <c r="FK456" s="12"/>
      <c r="FL456" s="12"/>
      <c r="FM456" s="12"/>
      <c r="FN456" s="12"/>
      <c r="FO456" s="12"/>
      <c r="FP456" s="12"/>
    </row>
    <row r="457" spans="1:172" s="69" customFormat="1" ht="14" customHeight="1" x14ac:dyDescent="0.15">
      <c r="A457" s="56" t="s">
        <v>404</v>
      </c>
      <c r="B457" s="54">
        <v>78</v>
      </c>
      <c r="C457" s="54">
        <v>86</v>
      </c>
      <c r="D457" s="55">
        <v>82</v>
      </c>
      <c r="E457" s="54">
        <v>24.5</v>
      </c>
      <c r="F457" s="54">
        <v>34.25</v>
      </c>
      <c r="G457" s="53">
        <v>10</v>
      </c>
      <c r="H457" s="54">
        <v>354</v>
      </c>
      <c r="I457" s="54">
        <v>3.5</v>
      </c>
      <c r="J457" s="54">
        <v>60</v>
      </c>
      <c r="K457" s="54">
        <v>6.3</v>
      </c>
      <c r="L457" s="55">
        <v>-66.5</v>
      </c>
      <c r="M457" s="55">
        <v>49</v>
      </c>
      <c r="N457" s="54"/>
      <c r="O457" s="54"/>
      <c r="P457" s="61">
        <v>149.24623542624292</v>
      </c>
      <c r="Q457" s="61">
        <v>3.9671522900418608</v>
      </c>
      <c r="R457" s="59">
        <v>715</v>
      </c>
      <c r="S457" s="55">
        <v>-66.5</v>
      </c>
      <c r="T457" s="55">
        <v>49</v>
      </c>
      <c r="U457" s="54">
        <v>0</v>
      </c>
      <c r="V457" s="54">
        <v>0</v>
      </c>
      <c r="W457" s="54">
        <v>0</v>
      </c>
      <c r="X457" s="54" t="s">
        <v>1202</v>
      </c>
      <c r="Y457" s="62"/>
      <c r="Z457" s="62"/>
      <c r="AA457" s="56" t="b">
        <v>0</v>
      </c>
      <c r="AB457" s="52">
        <v>0</v>
      </c>
      <c r="AC457" s="49" t="s">
        <v>405</v>
      </c>
      <c r="AD457" s="63"/>
      <c r="AE457" s="52" t="s">
        <v>1369</v>
      </c>
      <c r="AF457" s="56" t="s">
        <v>1440</v>
      </c>
      <c r="AG457" s="49"/>
      <c r="AH457" s="56"/>
      <c r="AI457" s="12"/>
      <c r="AJ457" s="3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c r="DK457" s="12"/>
      <c r="DL457" s="12"/>
      <c r="DM457" s="12"/>
      <c r="DN457" s="12"/>
      <c r="DO457" s="12"/>
      <c r="DP457" s="12"/>
      <c r="DQ457" s="12"/>
      <c r="DR457" s="12"/>
      <c r="DS457" s="12"/>
      <c r="DT457" s="12"/>
      <c r="DU457" s="12"/>
      <c r="DV457" s="12"/>
      <c r="DW457" s="12"/>
      <c r="DX457" s="12"/>
      <c r="DY457" s="12"/>
      <c r="DZ457" s="12"/>
      <c r="EA457" s="12"/>
      <c r="EB457" s="12"/>
      <c r="EC457" s="12"/>
      <c r="ED457" s="12"/>
      <c r="EE457" s="12"/>
      <c r="EF457" s="12"/>
      <c r="EG457" s="12"/>
      <c r="EH457" s="12"/>
      <c r="EI457" s="12"/>
      <c r="EJ457" s="12"/>
      <c r="EK457" s="12"/>
      <c r="EL457" s="12"/>
      <c r="EM457" s="12"/>
      <c r="EN457" s="12"/>
      <c r="EO457" s="12"/>
      <c r="EP457" s="12"/>
      <c r="EQ457" s="12"/>
      <c r="ER457" s="12"/>
      <c r="ES457" s="12"/>
      <c r="ET457" s="12"/>
      <c r="EU457" s="12"/>
      <c r="EV457" s="12"/>
      <c r="EW457" s="12"/>
      <c r="EX457" s="12"/>
      <c r="EY457" s="12"/>
      <c r="EZ457" s="12"/>
      <c r="FA457" s="12"/>
      <c r="FB457" s="12"/>
      <c r="FC457" s="12"/>
      <c r="FD457" s="12"/>
      <c r="FE457" s="12"/>
      <c r="FF457" s="12"/>
      <c r="FG457" s="12"/>
      <c r="FH457" s="12"/>
      <c r="FI457" s="12"/>
      <c r="FJ457" s="12"/>
      <c r="FK457" s="12"/>
      <c r="FL457" s="12"/>
      <c r="FM457" s="12"/>
      <c r="FN457" s="12"/>
      <c r="FO457" s="12"/>
      <c r="FP457" s="12"/>
    </row>
    <row r="458" spans="1:172" s="69" customFormat="1" ht="14" customHeight="1" x14ac:dyDescent="0.2">
      <c r="A458" s="10" t="s">
        <v>454</v>
      </c>
      <c r="B458" s="9">
        <v>86</v>
      </c>
      <c r="C458" s="9">
        <v>100</v>
      </c>
      <c r="D458" s="13">
        <v>93</v>
      </c>
      <c r="E458" s="9">
        <v>24.4</v>
      </c>
      <c r="F458" s="9">
        <v>34.299999999999997</v>
      </c>
      <c r="G458" s="34">
        <v>15</v>
      </c>
      <c r="H458" s="9">
        <v>354.4</v>
      </c>
      <c r="I458" s="9">
        <v>16.7</v>
      </c>
      <c r="J458" s="9">
        <v>21.4</v>
      </c>
      <c r="K458" s="9">
        <v>8.5</v>
      </c>
      <c r="L458" s="13">
        <v>-69.3</v>
      </c>
      <c r="M458" s="6">
        <v>78.099999999999994</v>
      </c>
      <c r="N458" s="9">
        <v>44.4</v>
      </c>
      <c r="O458" s="9">
        <v>5.8</v>
      </c>
      <c r="P458" s="9" t="s">
        <v>1203</v>
      </c>
      <c r="Q458" s="9" t="s">
        <v>1203</v>
      </c>
      <c r="R458" s="7">
        <v>715</v>
      </c>
      <c r="S458" s="13">
        <v>-69.385487238110997</v>
      </c>
      <c r="T458" s="13">
        <v>78.253608065799199</v>
      </c>
      <c r="U458" s="9">
        <v>-40.499999999999901</v>
      </c>
      <c r="V458" s="9">
        <v>118.6</v>
      </c>
      <c r="W458" s="9">
        <v>0.17337748344370801</v>
      </c>
      <c r="X458" s="7" t="s">
        <v>1202</v>
      </c>
      <c r="Y458" s="7"/>
      <c r="Z458" s="7"/>
      <c r="AA458" s="7" t="b">
        <v>1</v>
      </c>
      <c r="AB458" s="7">
        <v>0</v>
      </c>
      <c r="AC458" s="14" t="s">
        <v>1457</v>
      </c>
      <c r="AD458" s="7">
        <v>1500</v>
      </c>
      <c r="AE458" s="7" t="s">
        <v>147</v>
      </c>
      <c r="AF458" s="10" t="s">
        <v>455</v>
      </c>
      <c r="AG458" s="14" t="s">
        <v>1303</v>
      </c>
      <c r="AH458" s="10"/>
      <c r="AI458" s="12"/>
      <c r="AJ458" s="3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c r="DK458" s="12"/>
      <c r="DL458" s="12"/>
      <c r="DM458" s="12"/>
      <c r="DN458" s="12"/>
      <c r="DO458" s="12"/>
      <c r="DP458" s="12"/>
      <c r="DQ458" s="12"/>
      <c r="DR458" s="12"/>
      <c r="DS458" s="12"/>
      <c r="DT458" s="12"/>
      <c r="DU458" s="12"/>
      <c r="DV458" s="12"/>
      <c r="DW458" s="12"/>
      <c r="DX458" s="12"/>
      <c r="DY458" s="12"/>
      <c r="DZ458" s="12"/>
      <c r="EA458" s="12"/>
      <c r="EB458" s="12"/>
      <c r="EC458" s="12"/>
      <c r="ED458" s="12"/>
      <c r="EE458" s="12"/>
      <c r="EF458" s="12"/>
      <c r="EG458" s="12"/>
      <c r="EH458" s="12"/>
      <c r="EI458" s="12"/>
      <c r="EJ458" s="12"/>
      <c r="EK458" s="12"/>
      <c r="EL458" s="12"/>
      <c r="EM458" s="12"/>
      <c r="EN458" s="12"/>
      <c r="EO458" s="12"/>
      <c r="EP458" s="12"/>
      <c r="EQ458" s="12"/>
      <c r="ER458" s="12"/>
      <c r="ES458" s="12"/>
      <c r="ET458" s="12"/>
      <c r="EU458" s="12"/>
      <c r="EV458" s="12"/>
      <c r="EW458" s="12"/>
      <c r="EX458" s="12"/>
      <c r="EY458" s="12"/>
      <c r="EZ458" s="12"/>
      <c r="FA458" s="12"/>
      <c r="FB458" s="12"/>
      <c r="FC458" s="12"/>
      <c r="FD458" s="12"/>
      <c r="FE458" s="12"/>
      <c r="FF458" s="12"/>
      <c r="FG458" s="12"/>
      <c r="FH458" s="12"/>
      <c r="FI458" s="12"/>
      <c r="FJ458" s="12"/>
      <c r="FK458" s="12"/>
      <c r="FL458" s="12"/>
      <c r="FM458" s="12"/>
      <c r="FN458" s="12"/>
      <c r="FO458" s="12"/>
      <c r="FP458" s="12"/>
    </row>
    <row r="459" spans="1:172" s="69" customFormat="1" ht="14" customHeight="1" x14ac:dyDescent="0.2">
      <c r="A459" s="49" t="s">
        <v>454</v>
      </c>
      <c r="B459" s="54">
        <v>78</v>
      </c>
      <c r="C459" s="54">
        <v>111</v>
      </c>
      <c r="D459" s="58">
        <v>94.5</v>
      </c>
      <c r="E459" s="54">
        <v>24.5</v>
      </c>
      <c r="F459" s="54">
        <v>33.5</v>
      </c>
      <c r="G459" s="53">
        <v>5</v>
      </c>
      <c r="H459" s="54">
        <v>356.5</v>
      </c>
      <c r="I459" s="54">
        <v>20.5</v>
      </c>
      <c r="J459" s="54">
        <v>18.100000000000001</v>
      </c>
      <c r="K459" s="54">
        <v>18.100000000000001</v>
      </c>
      <c r="L459" s="55">
        <v>-75.7</v>
      </c>
      <c r="M459" s="58">
        <v>48.3</v>
      </c>
      <c r="N459" s="54"/>
      <c r="O459" s="54"/>
      <c r="P459" s="54">
        <v>38.064200360823605</v>
      </c>
      <c r="Q459" s="54">
        <v>12.560124555260144</v>
      </c>
      <c r="R459" s="52">
        <v>715</v>
      </c>
      <c r="S459" s="55">
        <v>-75.844000637862706</v>
      </c>
      <c r="T459" s="55">
        <v>48.373088803551099</v>
      </c>
      <c r="U459" s="54">
        <v>-40.5</v>
      </c>
      <c r="V459" s="54">
        <v>118.6</v>
      </c>
      <c r="W459" s="54">
        <v>0.20119205298013201</v>
      </c>
      <c r="X459" s="52" t="s">
        <v>1202</v>
      </c>
      <c r="Y459" s="52"/>
      <c r="Z459" s="52"/>
      <c r="AA459" s="56" t="b">
        <v>1</v>
      </c>
      <c r="AB459" s="52" t="s">
        <v>31</v>
      </c>
      <c r="AC459" s="49" t="s">
        <v>462</v>
      </c>
      <c r="AD459" s="52">
        <v>3260</v>
      </c>
      <c r="AE459" s="52" t="s">
        <v>147</v>
      </c>
      <c r="AF459" s="56" t="s">
        <v>463</v>
      </c>
      <c r="AG459" s="49" t="s">
        <v>1304</v>
      </c>
      <c r="AH459" s="56" t="s">
        <v>1361</v>
      </c>
      <c r="AI459" s="12"/>
      <c r="AJ459" s="3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c r="DK459" s="12"/>
      <c r="DL459" s="12"/>
      <c r="DM459" s="12"/>
      <c r="DN459" s="12"/>
      <c r="DO459" s="12"/>
      <c r="DP459" s="12"/>
      <c r="DQ459" s="12"/>
      <c r="DR459" s="12"/>
      <c r="DS459" s="12"/>
      <c r="DT459" s="12"/>
      <c r="DU459" s="12"/>
      <c r="DV459" s="12"/>
      <c r="DW459" s="12"/>
      <c r="DX459" s="12"/>
      <c r="DY459" s="12"/>
      <c r="DZ459" s="12"/>
      <c r="EA459" s="12"/>
      <c r="EB459" s="12"/>
      <c r="EC459" s="12"/>
      <c r="ED459" s="12"/>
      <c r="EE459" s="12"/>
      <c r="EF459" s="12"/>
      <c r="EG459" s="12"/>
      <c r="EH459" s="12"/>
      <c r="EI459" s="12"/>
      <c r="EJ459" s="12"/>
      <c r="EK459" s="12"/>
      <c r="EL459" s="12"/>
      <c r="EM459" s="12"/>
      <c r="EN459" s="12"/>
      <c r="EO459" s="12"/>
      <c r="EP459" s="12"/>
      <c r="EQ459" s="12"/>
      <c r="ER459" s="12"/>
      <c r="ES459" s="12"/>
      <c r="ET459" s="12"/>
      <c r="EU459" s="12"/>
      <c r="EV459" s="12"/>
      <c r="EW459" s="12"/>
      <c r="EX459" s="12"/>
      <c r="EY459" s="12"/>
      <c r="EZ459" s="12"/>
      <c r="FA459" s="12"/>
      <c r="FB459" s="12"/>
      <c r="FC459" s="12"/>
      <c r="FD459" s="12"/>
      <c r="FE459" s="12"/>
      <c r="FF459" s="12"/>
      <c r="FG459" s="12"/>
      <c r="FH459" s="12"/>
      <c r="FI459" s="12"/>
      <c r="FJ459" s="12"/>
      <c r="FK459" s="12"/>
      <c r="FL459" s="12"/>
      <c r="FM459" s="12"/>
      <c r="FN459" s="12"/>
      <c r="FO459" s="12"/>
      <c r="FP459" s="12"/>
    </row>
    <row r="460" spans="1:172" s="69" customFormat="1" ht="14" customHeight="1" x14ac:dyDescent="0.2">
      <c r="A460" s="49" t="s">
        <v>404</v>
      </c>
      <c r="B460" s="54">
        <v>97</v>
      </c>
      <c r="C460" s="54">
        <v>111</v>
      </c>
      <c r="D460" s="55">
        <v>104</v>
      </c>
      <c r="E460" s="54">
        <v>24.5</v>
      </c>
      <c r="F460" s="54">
        <v>34.25</v>
      </c>
      <c r="G460" s="53">
        <v>12</v>
      </c>
      <c r="H460" s="54">
        <v>340</v>
      </c>
      <c r="I460" s="54">
        <v>-10</v>
      </c>
      <c r="J460" s="54">
        <v>54</v>
      </c>
      <c r="K460" s="54">
        <v>6</v>
      </c>
      <c r="L460" s="55">
        <v>-55</v>
      </c>
      <c r="M460" s="55">
        <v>70</v>
      </c>
      <c r="N460" s="54"/>
      <c r="O460" s="54"/>
      <c r="P460" s="61">
        <v>129.55972670267872</v>
      </c>
      <c r="Q460" s="64">
        <v>3.8275916450648539</v>
      </c>
      <c r="R460" s="52">
        <v>715</v>
      </c>
      <c r="S460" s="55">
        <v>-55.2151926043679</v>
      </c>
      <c r="T460" s="55">
        <v>70.027090040369302</v>
      </c>
      <c r="U460" s="54">
        <v>-40.5</v>
      </c>
      <c r="V460" s="54">
        <v>118.6</v>
      </c>
      <c r="W460" s="54">
        <v>0.37735099337748301</v>
      </c>
      <c r="X460" s="52" t="s">
        <v>1202</v>
      </c>
      <c r="Y460" s="52"/>
      <c r="Z460" s="52"/>
      <c r="AA460" s="52" t="b">
        <v>0</v>
      </c>
      <c r="AB460" s="52">
        <v>0</v>
      </c>
      <c r="AC460" s="49" t="s">
        <v>405</v>
      </c>
      <c r="AD460" s="52"/>
      <c r="AE460" s="52" t="s">
        <v>1369</v>
      </c>
      <c r="AF460" s="56" t="s">
        <v>1250</v>
      </c>
      <c r="AG460" s="49"/>
      <c r="AH460" s="56"/>
      <c r="AI460" s="12"/>
      <c r="AJ460" s="3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c r="DK460" s="12"/>
      <c r="DL460" s="12"/>
      <c r="DM460" s="12"/>
      <c r="DN460" s="12"/>
      <c r="DO460" s="12"/>
      <c r="DP460" s="12"/>
      <c r="DQ460" s="12"/>
      <c r="DR460" s="12"/>
      <c r="DS460" s="12"/>
      <c r="DT460" s="12"/>
      <c r="DU460" s="12"/>
      <c r="DV460" s="12"/>
      <c r="DW460" s="12"/>
      <c r="DX460" s="12"/>
      <c r="DY460" s="12"/>
      <c r="DZ460" s="12"/>
      <c r="EA460" s="12"/>
      <c r="EB460" s="12"/>
      <c r="EC460" s="12"/>
      <c r="ED460" s="12"/>
      <c r="EE460" s="12"/>
      <c r="EF460" s="12"/>
      <c r="EG460" s="12"/>
      <c r="EH460" s="12"/>
      <c r="EI460" s="12"/>
      <c r="EJ460" s="12"/>
      <c r="EK460" s="12"/>
      <c r="EL460" s="12"/>
      <c r="EM460" s="12"/>
      <c r="EN460" s="12"/>
      <c r="EO460" s="12"/>
      <c r="EP460" s="12"/>
      <c r="EQ460" s="12"/>
      <c r="ER460" s="12"/>
      <c r="ES460" s="12"/>
      <c r="ET460" s="12"/>
      <c r="EU460" s="12"/>
      <c r="EV460" s="12"/>
      <c r="EW460" s="12"/>
      <c r="EX460" s="12"/>
      <c r="EY460" s="12"/>
      <c r="EZ460" s="12"/>
      <c r="FA460" s="12"/>
      <c r="FB460" s="12"/>
      <c r="FC460" s="12"/>
      <c r="FD460" s="12"/>
      <c r="FE460" s="12"/>
      <c r="FF460" s="12"/>
      <c r="FG460" s="12"/>
      <c r="FH460" s="12"/>
      <c r="FI460" s="12"/>
      <c r="FJ460" s="12"/>
      <c r="FK460" s="12"/>
      <c r="FL460" s="12"/>
      <c r="FM460" s="12"/>
      <c r="FN460" s="12"/>
      <c r="FO460" s="12"/>
      <c r="FP460" s="12"/>
    </row>
    <row r="461" spans="1:172" s="69" customFormat="1" ht="14" customHeight="1" x14ac:dyDescent="0.2">
      <c r="A461" s="56" t="s">
        <v>778</v>
      </c>
      <c r="B461" s="54">
        <v>201.4</v>
      </c>
      <c r="C461" s="54">
        <v>237</v>
      </c>
      <c r="D461" s="58">
        <f>(B461+C461)/2</f>
        <v>219.2</v>
      </c>
      <c r="E461" s="54">
        <v>33</v>
      </c>
      <c r="F461" s="52">
        <v>10.6</v>
      </c>
      <c r="G461" s="58">
        <v>4</v>
      </c>
      <c r="H461" s="54">
        <v>351.8</v>
      </c>
      <c r="I461" s="54">
        <v>4.4000000000000004</v>
      </c>
      <c r="J461" s="54">
        <v>36.700000000000003</v>
      </c>
      <c r="K461" s="54">
        <v>11.5</v>
      </c>
      <c r="L461" s="55">
        <v>-54.9</v>
      </c>
      <c r="M461" s="58">
        <v>43.3</v>
      </c>
      <c r="N461" s="54">
        <v>178.3</v>
      </c>
      <c r="O461" s="54">
        <v>6.9</v>
      </c>
      <c r="P461" s="54" t="s">
        <v>1203</v>
      </c>
      <c r="Q461" s="54" t="s">
        <v>1203</v>
      </c>
      <c r="R461" s="52">
        <v>715</v>
      </c>
      <c r="S461" s="55">
        <v>-55.415168725872</v>
      </c>
      <c r="T461" s="55">
        <v>43.037726259116802</v>
      </c>
      <c r="U461" s="54">
        <v>-40.499999999999901</v>
      </c>
      <c r="V461" s="54">
        <v>118.6</v>
      </c>
      <c r="W461" s="54">
        <v>0.7</v>
      </c>
      <c r="X461" s="52" t="s">
        <v>1204</v>
      </c>
      <c r="Y461" s="56"/>
      <c r="Z461" s="56"/>
      <c r="AA461" s="52" t="b">
        <v>1</v>
      </c>
      <c r="AB461" s="52" t="s">
        <v>165</v>
      </c>
      <c r="AC461" s="49" t="s">
        <v>779</v>
      </c>
      <c r="AD461" s="52">
        <v>3020</v>
      </c>
      <c r="AE461" s="52" t="s">
        <v>147</v>
      </c>
      <c r="AF461" s="56" t="s">
        <v>1421</v>
      </c>
      <c r="AG461" s="49"/>
      <c r="AH461" s="56" t="s">
        <v>1361</v>
      </c>
      <c r="AI461" s="12"/>
      <c r="AJ461" s="3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c r="DK461" s="12"/>
      <c r="DL461" s="12"/>
      <c r="DM461" s="12"/>
      <c r="DN461" s="12"/>
      <c r="DO461" s="12"/>
      <c r="DP461" s="12"/>
      <c r="DQ461" s="12"/>
      <c r="DR461" s="12"/>
      <c r="DS461" s="12"/>
      <c r="DT461" s="12"/>
      <c r="DU461" s="12"/>
      <c r="DV461" s="12"/>
      <c r="DW461" s="12"/>
      <c r="DX461" s="12"/>
      <c r="DY461" s="12"/>
      <c r="DZ461" s="12"/>
      <c r="EA461" s="12"/>
      <c r="EB461" s="12"/>
      <c r="EC461" s="12"/>
      <c r="ED461" s="12"/>
      <c r="EE461" s="12"/>
      <c r="EF461" s="12"/>
      <c r="EG461" s="12"/>
      <c r="EH461" s="12"/>
      <c r="EI461" s="12"/>
      <c r="EJ461" s="12"/>
      <c r="EK461" s="12"/>
      <c r="EL461" s="12"/>
      <c r="EM461" s="12"/>
      <c r="EN461" s="12"/>
      <c r="EO461" s="12"/>
      <c r="EP461" s="12"/>
      <c r="EQ461" s="12"/>
      <c r="ER461" s="12"/>
      <c r="ES461" s="12"/>
      <c r="ET461" s="12"/>
      <c r="EU461" s="12"/>
      <c r="EV461" s="12"/>
      <c r="EW461" s="12"/>
      <c r="EX461" s="12"/>
      <c r="EY461" s="12"/>
      <c r="EZ461" s="12"/>
      <c r="FA461" s="12"/>
      <c r="FB461" s="12"/>
      <c r="FC461" s="12"/>
      <c r="FD461" s="12"/>
      <c r="FE461" s="12"/>
      <c r="FF461" s="12"/>
      <c r="FG461" s="12"/>
      <c r="FH461" s="12"/>
      <c r="FI461" s="12"/>
      <c r="FJ461" s="12"/>
      <c r="FK461" s="12"/>
      <c r="FL461" s="12"/>
      <c r="FM461" s="12"/>
      <c r="FN461" s="12"/>
      <c r="FO461" s="12"/>
      <c r="FP461" s="12"/>
    </row>
    <row r="462" spans="1:172" s="69" customFormat="1" ht="14" customHeight="1" x14ac:dyDescent="0.2">
      <c r="A462" s="49" t="s">
        <v>782</v>
      </c>
      <c r="B462" s="54">
        <v>214</v>
      </c>
      <c r="C462" s="54">
        <v>232</v>
      </c>
      <c r="D462" s="55">
        <v>223</v>
      </c>
      <c r="E462" s="54">
        <v>23.75</v>
      </c>
      <c r="F462" s="54">
        <v>33.299999999999997</v>
      </c>
      <c r="G462" s="53">
        <v>11</v>
      </c>
      <c r="H462" s="54">
        <v>347.6</v>
      </c>
      <c r="I462" s="54">
        <v>-15</v>
      </c>
      <c r="J462" s="54">
        <v>59.6</v>
      </c>
      <c r="K462" s="54">
        <v>6</v>
      </c>
      <c r="L462" s="55">
        <v>-56.4</v>
      </c>
      <c r="M462" s="55">
        <v>56</v>
      </c>
      <c r="N462" s="54"/>
      <c r="O462" s="54"/>
      <c r="P462" s="54">
        <v>135.82637832374664</v>
      </c>
      <c r="Q462" s="54">
        <v>3.9317086693390131</v>
      </c>
      <c r="R462" s="52">
        <v>715</v>
      </c>
      <c r="S462" s="55">
        <v>-56.872749610244298</v>
      </c>
      <c r="T462" s="55">
        <v>55.916875318362898</v>
      </c>
      <c r="U462" s="54">
        <v>-40.499999999999901</v>
      </c>
      <c r="V462" s="54">
        <v>118.6</v>
      </c>
      <c r="W462" s="54">
        <v>0.7</v>
      </c>
      <c r="X462" s="52" t="s">
        <v>1202</v>
      </c>
      <c r="Y462" s="52"/>
      <c r="Z462" s="52"/>
      <c r="AA462" s="52" t="b">
        <v>0</v>
      </c>
      <c r="AB462" s="52">
        <v>0</v>
      </c>
      <c r="AC462" s="49" t="s">
        <v>1446</v>
      </c>
      <c r="AD462" s="52"/>
      <c r="AE462" s="52" t="s">
        <v>1369</v>
      </c>
      <c r="AF462" s="56" t="s">
        <v>1211</v>
      </c>
      <c r="AG462" s="49"/>
      <c r="AH462" s="56"/>
      <c r="AI462" s="12"/>
      <c r="AJ462" s="3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c r="DK462" s="12"/>
      <c r="DL462" s="12"/>
      <c r="DM462" s="12"/>
      <c r="DN462" s="12"/>
      <c r="DO462" s="12"/>
      <c r="DP462" s="12"/>
      <c r="DQ462" s="12"/>
      <c r="DR462" s="12"/>
      <c r="DS462" s="12"/>
      <c r="DT462" s="12"/>
      <c r="DU462" s="12"/>
      <c r="DV462" s="12"/>
      <c r="DW462" s="12"/>
      <c r="DX462" s="12"/>
      <c r="DY462" s="12"/>
      <c r="DZ462" s="12"/>
      <c r="EA462" s="12"/>
      <c r="EB462" s="12"/>
      <c r="EC462" s="12"/>
      <c r="ED462" s="12"/>
      <c r="EE462" s="12"/>
      <c r="EF462" s="12"/>
      <c r="EG462" s="12"/>
      <c r="EH462" s="12"/>
      <c r="EI462" s="12"/>
      <c r="EJ462" s="12"/>
      <c r="EK462" s="12"/>
      <c r="EL462" s="12"/>
      <c r="EM462" s="12"/>
      <c r="EN462" s="12"/>
      <c r="EO462" s="12"/>
      <c r="EP462" s="12"/>
      <c r="EQ462" s="12"/>
      <c r="ER462" s="12"/>
      <c r="ES462" s="12"/>
      <c r="ET462" s="12"/>
      <c r="EU462" s="12"/>
      <c r="EV462" s="12"/>
      <c r="EW462" s="12"/>
      <c r="EX462" s="12"/>
      <c r="EY462" s="12"/>
      <c r="EZ462" s="12"/>
      <c r="FA462" s="12"/>
      <c r="FB462" s="12"/>
      <c r="FC462" s="12"/>
      <c r="FD462" s="12"/>
      <c r="FE462" s="12"/>
      <c r="FF462" s="12"/>
      <c r="FG462" s="12"/>
      <c r="FH462" s="12"/>
      <c r="FI462" s="12"/>
      <c r="FJ462" s="12"/>
      <c r="FK462" s="12"/>
      <c r="FL462" s="12"/>
      <c r="FM462" s="12"/>
      <c r="FN462" s="12"/>
      <c r="FO462" s="12"/>
      <c r="FP462" s="12"/>
    </row>
    <row r="463" spans="1:172" s="69" customFormat="1" ht="14" customHeight="1" x14ac:dyDescent="0.2">
      <c r="A463" s="14" t="s">
        <v>786</v>
      </c>
      <c r="B463" s="9">
        <v>224</v>
      </c>
      <c r="C463" s="9">
        <v>234</v>
      </c>
      <c r="D463" s="13">
        <v>229</v>
      </c>
      <c r="E463" s="9">
        <v>22.3</v>
      </c>
      <c r="F463" s="9">
        <v>33.6</v>
      </c>
      <c r="G463" s="34">
        <v>10</v>
      </c>
      <c r="H463" s="9">
        <v>352.6</v>
      </c>
      <c r="I463" s="9">
        <v>-23.6</v>
      </c>
      <c r="J463" s="9">
        <v>38</v>
      </c>
      <c r="K463" s="9">
        <v>8</v>
      </c>
      <c r="L463" s="13">
        <v>-54.6</v>
      </c>
      <c r="M463" s="13">
        <v>46.2</v>
      </c>
      <c r="N463" s="9"/>
      <c r="O463" s="9"/>
      <c r="P463" s="9">
        <v>75.542398450627132</v>
      </c>
      <c r="Q463" s="9">
        <v>5.5938405773869322</v>
      </c>
      <c r="R463" s="7">
        <v>715</v>
      </c>
      <c r="S463" s="13">
        <v>-55.107686742240098</v>
      </c>
      <c r="T463" s="13">
        <v>45.972565781136502</v>
      </c>
      <c r="U463" s="9">
        <v>-40.499999999999901</v>
      </c>
      <c r="V463" s="9">
        <v>118.6</v>
      </c>
      <c r="W463" s="9">
        <v>0.7</v>
      </c>
      <c r="X463" s="7" t="s">
        <v>1202</v>
      </c>
      <c r="Y463" s="7"/>
      <c r="Z463" s="7"/>
      <c r="AA463" s="7" t="b">
        <v>1</v>
      </c>
      <c r="AB463" s="7">
        <v>0</v>
      </c>
      <c r="AC463" s="14" t="s">
        <v>1446</v>
      </c>
      <c r="AD463" s="7"/>
      <c r="AE463" s="7" t="s">
        <v>1369</v>
      </c>
      <c r="AF463" s="10" t="s">
        <v>1251</v>
      </c>
      <c r="AG463" s="14"/>
      <c r="AH463" s="10"/>
      <c r="AI463" s="12"/>
      <c r="AJ463" s="3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c r="DK463" s="12"/>
      <c r="DL463" s="12"/>
      <c r="DM463" s="12"/>
      <c r="DN463" s="12"/>
      <c r="DO463" s="12"/>
      <c r="DP463" s="12"/>
      <c r="DQ463" s="12"/>
      <c r="DR463" s="12"/>
      <c r="DS463" s="12"/>
      <c r="DT463" s="12"/>
      <c r="DU463" s="12"/>
      <c r="DV463" s="12"/>
      <c r="DW463" s="12"/>
      <c r="DX463" s="12"/>
      <c r="DY463" s="12"/>
      <c r="DZ463" s="12"/>
      <c r="EA463" s="12"/>
      <c r="EB463" s="12"/>
      <c r="EC463" s="12"/>
      <c r="ED463" s="12"/>
      <c r="EE463" s="12"/>
      <c r="EF463" s="12"/>
      <c r="EG463" s="12"/>
      <c r="EH463" s="12"/>
      <c r="EI463" s="12"/>
      <c r="EJ463" s="12"/>
      <c r="EK463" s="12"/>
      <c r="EL463" s="12"/>
      <c r="EM463" s="12"/>
      <c r="EN463" s="12"/>
      <c r="EO463" s="12"/>
      <c r="EP463" s="12"/>
      <c r="EQ463" s="12"/>
      <c r="ER463" s="12"/>
      <c r="ES463" s="12"/>
      <c r="ET463" s="12"/>
      <c r="EU463" s="12"/>
      <c r="EV463" s="12"/>
      <c r="EW463" s="12"/>
      <c r="EX463" s="12"/>
      <c r="EY463" s="12"/>
      <c r="EZ463" s="12"/>
      <c r="FA463" s="12"/>
      <c r="FB463" s="12"/>
      <c r="FC463" s="12"/>
      <c r="FD463" s="12"/>
      <c r="FE463" s="12"/>
      <c r="FF463" s="12"/>
      <c r="FG463" s="12"/>
      <c r="FH463" s="12"/>
      <c r="FI463" s="12"/>
      <c r="FJ463" s="12"/>
      <c r="FK463" s="12"/>
      <c r="FL463" s="12"/>
      <c r="FM463" s="12"/>
      <c r="FN463" s="12"/>
      <c r="FO463" s="12"/>
      <c r="FP463" s="12"/>
    </row>
    <row r="464" spans="1:172" s="69" customFormat="1" ht="14" customHeight="1" x14ac:dyDescent="0.2">
      <c r="A464" s="56" t="s">
        <v>791</v>
      </c>
      <c r="B464" s="52">
        <v>227.3</v>
      </c>
      <c r="C464" s="52">
        <v>241.5</v>
      </c>
      <c r="D464" s="55">
        <f>(B464+C464)/2</f>
        <v>234.4</v>
      </c>
      <c r="E464" s="52">
        <v>32.4</v>
      </c>
      <c r="F464" s="52">
        <v>13.2</v>
      </c>
      <c r="G464" s="58">
        <v>20</v>
      </c>
      <c r="H464" s="54">
        <v>341.7</v>
      </c>
      <c r="I464" s="54">
        <v>2.7</v>
      </c>
      <c r="J464" s="54">
        <v>36</v>
      </c>
      <c r="K464" s="54">
        <v>5.5</v>
      </c>
      <c r="L464" s="55">
        <v>-54.5</v>
      </c>
      <c r="M464" s="58">
        <v>45.8</v>
      </c>
      <c r="N464" s="52"/>
      <c r="O464" s="52"/>
      <c r="P464" s="54">
        <v>89.73058877323875</v>
      </c>
      <c r="Q464" s="54">
        <v>3.4643756441374198</v>
      </c>
      <c r="R464" s="52">
        <v>715</v>
      </c>
      <c r="S464" s="55">
        <v>-55.008798926413803</v>
      </c>
      <c r="T464" s="55">
        <v>45.566671704777299</v>
      </c>
      <c r="U464" s="54">
        <v>-40.499999999999901</v>
      </c>
      <c r="V464" s="54">
        <v>118.6</v>
      </c>
      <c r="W464" s="54">
        <v>0.7</v>
      </c>
      <c r="X464" s="76" t="s">
        <v>1204</v>
      </c>
      <c r="Y464" s="56"/>
      <c r="Z464" s="56"/>
      <c r="AA464" s="52" t="b">
        <v>0</v>
      </c>
      <c r="AB464" s="52" t="s">
        <v>165</v>
      </c>
      <c r="AC464" s="49" t="s">
        <v>792</v>
      </c>
      <c r="AD464" s="52">
        <v>3408</v>
      </c>
      <c r="AE464" s="52" t="s">
        <v>147</v>
      </c>
      <c r="AF464" s="56" t="s">
        <v>793</v>
      </c>
      <c r="AG464" s="49"/>
      <c r="AH464" s="56"/>
      <c r="AI464" s="12"/>
      <c r="AJ464" s="3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c r="DK464" s="12"/>
      <c r="DL464" s="12"/>
      <c r="DM464" s="12"/>
      <c r="DN464" s="12"/>
      <c r="DO464" s="12"/>
      <c r="DP464" s="12"/>
      <c r="DQ464" s="12"/>
      <c r="DR464" s="12"/>
      <c r="DS464" s="12"/>
      <c r="DT464" s="12"/>
      <c r="DU464" s="12"/>
      <c r="DV464" s="12"/>
      <c r="DW464" s="12"/>
      <c r="DX464" s="12"/>
      <c r="DY464" s="12"/>
      <c r="DZ464" s="12"/>
      <c r="EA464" s="12"/>
      <c r="EB464" s="12"/>
      <c r="EC464" s="12"/>
      <c r="ED464" s="12"/>
      <c r="EE464" s="12"/>
      <c r="EF464" s="12"/>
      <c r="EG464" s="12"/>
      <c r="EH464" s="12"/>
      <c r="EI464" s="12"/>
      <c r="EJ464" s="12"/>
      <c r="EK464" s="12"/>
      <c r="EL464" s="12"/>
      <c r="EM464" s="12"/>
      <c r="EN464" s="12"/>
      <c r="EO464" s="12"/>
      <c r="EP464" s="12"/>
      <c r="EQ464" s="12"/>
      <c r="ER464" s="12"/>
      <c r="ES464" s="12"/>
      <c r="ET464" s="12"/>
      <c r="EU464" s="12"/>
      <c r="EV464" s="12"/>
      <c r="EW464" s="12"/>
      <c r="EX464" s="12"/>
      <c r="EY464" s="12"/>
      <c r="EZ464" s="12"/>
      <c r="FA464" s="12"/>
      <c r="FB464" s="12"/>
      <c r="FC464" s="12"/>
      <c r="FD464" s="12"/>
      <c r="FE464" s="12"/>
      <c r="FF464" s="12"/>
      <c r="FG464" s="12"/>
      <c r="FH464" s="12"/>
      <c r="FI464" s="12"/>
      <c r="FJ464" s="12"/>
      <c r="FK464" s="12"/>
      <c r="FL464" s="12"/>
      <c r="FM464" s="12"/>
      <c r="FN464" s="12"/>
      <c r="FO464" s="12"/>
      <c r="FP464" s="12"/>
    </row>
    <row r="465" spans="1:172" s="56" customFormat="1" ht="14" customHeight="1" x14ac:dyDescent="0.2">
      <c r="A465" s="56" t="s">
        <v>794</v>
      </c>
      <c r="B465" s="52">
        <v>227.3</v>
      </c>
      <c r="C465" s="52">
        <v>241.5</v>
      </c>
      <c r="D465" s="55">
        <f>(B465+C465)/2</f>
        <v>234.4</v>
      </c>
      <c r="E465" s="52">
        <v>32.5</v>
      </c>
      <c r="F465" s="54">
        <v>13.1</v>
      </c>
      <c r="G465" s="58">
        <v>40</v>
      </c>
      <c r="H465" s="54">
        <v>349.5</v>
      </c>
      <c r="I465" s="54">
        <v>6.9</v>
      </c>
      <c r="J465" s="54">
        <v>36</v>
      </c>
      <c r="K465" s="54">
        <v>3.8</v>
      </c>
      <c r="L465" s="55">
        <v>-59.3</v>
      </c>
      <c r="M465" s="58">
        <v>34.1</v>
      </c>
      <c r="N465" s="52"/>
      <c r="O465" s="52"/>
      <c r="P465" s="54">
        <v>88.254843956198286</v>
      </c>
      <c r="Q465" s="54">
        <v>2.4200690391328656</v>
      </c>
      <c r="R465" s="52">
        <v>715</v>
      </c>
      <c r="S465" s="55">
        <v>-59.8299946956353</v>
      </c>
      <c r="T465" s="55">
        <v>33.729300783354702</v>
      </c>
      <c r="U465" s="54">
        <v>-40.499999999999901</v>
      </c>
      <c r="V465" s="54">
        <v>118.6</v>
      </c>
      <c r="W465" s="54">
        <v>0.7</v>
      </c>
      <c r="X465" s="76" t="s">
        <v>1204</v>
      </c>
      <c r="AA465" s="52" t="b">
        <v>0</v>
      </c>
      <c r="AB465" s="52" t="s">
        <v>165</v>
      </c>
      <c r="AC465" s="49" t="s">
        <v>792</v>
      </c>
      <c r="AD465" s="52">
        <v>3408</v>
      </c>
      <c r="AE465" s="52" t="s">
        <v>147</v>
      </c>
      <c r="AF465" s="56" t="s">
        <v>793</v>
      </c>
      <c r="AG465" s="49"/>
      <c r="AI465" s="10"/>
      <c r="AJ465" s="32"/>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c r="DS465" s="10"/>
      <c r="DT465" s="10"/>
      <c r="DU465" s="10"/>
      <c r="DV465" s="10"/>
      <c r="DW465" s="10"/>
      <c r="DX465" s="10"/>
      <c r="DY465" s="10"/>
      <c r="DZ465" s="10"/>
      <c r="EA465" s="10"/>
      <c r="EB465" s="10"/>
      <c r="EC465" s="10"/>
      <c r="ED465" s="10"/>
      <c r="EE465" s="10"/>
      <c r="EF465" s="10"/>
      <c r="EG465" s="10"/>
      <c r="EH465" s="10"/>
      <c r="EI465" s="10"/>
      <c r="EJ465" s="10"/>
      <c r="EK465" s="10"/>
      <c r="EL465" s="10"/>
      <c r="EM465" s="10"/>
      <c r="EN465" s="10"/>
      <c r="EO465" s="10"/>
      <c r="EP465" s="10"/>
      <c r="EQ465" s="10"/>
      <c r="ER465" s="10"/>
      <c r="ES465" s="10"/>
      <c r="ET465" s="10"/>
      <c r="EU465" s="10"/>
      <c r="EV465" s="10"/>
      <c r="EW465" s="10"/>
      <c r="EX465" s="10"/>
      <c r="EY465" s="10"/>
      <c r="EZ465" s="10"/>
      <c r="FA465" s="10"/>
      <c r="FB465" s="10"/>
      <c r="FC465" s="10"/>
      <c r="FD465" s="10"/>
      <c r="FE465" s="10"/>
      <c r="FF465" s="10"/>
      <c r="FG465" s="10"/>
      <c r="FH465" s="10"/>
      <c r="FI465" s="10"/>
      <c r="FJ465" s="10"/>
      <c r="FK465" s="10"/>
      <c r="FL465" s="10"/>
      <c r="FM465" s="10"/>
      <c r="FN465" s="10"/>
      <c r="FO465" s="10"/>
      <c r="FP465" s="10"/>
    </row>
    <row r="466" spans="1:172" s="56" customFormat="1" ht="14" customHeight="1" x14ac:dyDescent="0.2">
      <c r="A466" s="10" t="s">
        <v>979</v>
      </c>
      <c r="B466" s="9">
        <v>278</v>
      </c>
      <c r="C466" s="9">
        <v>282</v>
      </c>
      <c r="D466" s="13">
        <v>280</v>
      </c>
      <c r="E466" s="9">
        <v>14.9</v>
      </c>
      <c r="F466" s="9">
        <v>30.5</v>
      </c>
      <c r="G466" s="34">
        <v>8</v>
      </c>
      <c r="H466" s="9">
        <v>147.19999999999999</v>
      </c>
      <c r="I466" s="9">
        <v>39.6</v>
      </c>
      <c r="J466" s="9">
        <v>78.099999999999994</v>
      </c>
      <c r="K466" s="9">
        <v>6</v>
      </c>
      <c r="L466" s="13">
        <v>-40.799999999999997</v>
      </c>
      <c r="M466" s="13">
        <v>71.3</v>
      </c>
      <c r="N466" s="7"/>
      <c r="O466" s="7"/>
      <c r="P466" s="9">
        <v>102.65691744136865</v>
      </c>
      <c r="Q466" s="9">
        <v>5.4928165645642997</v>
      </c>
      <c r="R466" s="7">
        <v>715</v>
      </c>
      <c r="S466" s="13">
        <v>-41.191629920690403</v>
      </c>
      <c r="T466" s="13">
        <v>71.158708788723999</v>
      </c>
      <c r="U466" s="9">
        <v>-40.499999999999901</v>
      </c>
      <c r="V466" s="9">
        <v>118.6</v>
      </c>
      <c r="W466" s="9">
        <v>0.7</v>
      </c>
      <c r="X466" s="7" t="s">
        <v>1202</v>
      </c>
      <c r="Y466" s="10"/>
      <c r="Z466" s="10"/>
      <c r="AA466" s="7" t="b">
        <v>1</v>
      </c>
      <c r="AB466" s="7">
        <v>0</v>
      </c>
      <c r="AC466" s="14" t="s">
        <v>980</v>
      </c>
      <c r="AD466" s="7">
        <v>3504</v>
      </c>
      <c r="AE466" s="7" t="s">
        <v>147</v>
      </c>
      <c r="AF466" s="10" t="s">
        <v>981</v>
      </c>
      <c r="AG466" s="14"/>
      <c r="AH466" s="10"/>
      <c r="AI466" s="10"/>
      <c r="AJ466" s="32"/>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c r="DS466" s="10"/>
      <c r="DT466" s="10"/>
      <c r="DU466" s="10"/>
      <c r="DV466" s="10"/>
      <c r="DW466" s="10"/>
      <c r="DX466" s="10"/>
      <c r="DY466" s="10"/>
      <c r="DZ466" s="10"/>
      <c r="EA466" s="10"/>
      <c r="EB466" s="10"/>
      <c r="EC466" s="10"/>
      <c r="ED466" s="10"/>
      <c r="EE466" s="10"/>
      <c r="EF466" s="10"/>
      <c r="EG466" s="10"/>
      <c r="EH466" s="10"/>
      <c r="EI466" s="10"/>
      <c r="EJ466" s="10"/>
      <c r="EK466" s="10"/>
      <c r="EL466" s="10"/>
      <c r="EM466" s="10"/>
      <c r="EN466" s="10"/>
      <c r="EO466" s="10"/>
      <c r="EP466" s="10"/>
      <c r="EQ466" s="10"/>
      <c r="ER466" s="10"/>
      <c r="ES466" s="10"/>
      <c r="ET466" s="10"/>
      <c r="EU466" s="10"/>
      <c r="EV466" s="10"/>
      <c r="EW466" s="10"/>
      <c r="EX466" s="10"/>
      <c r="EY466" s="10"/>
      <c r="EZ466" s="10"/>
      <c r="FA466" s="10"/>
      <c r="FB466" s="10"/>
      <c r="FC466" s="10"/>
      <c r="FD466" s="10"/>
      <c r="FE466" s="10"/>
      <c r="FF466" s="10"/>
      <c r="FG466" s="10"/>
      <c r="FH466" s="10"/>
      <c r="FI466" s="10"/>
      <c r="FJ466" s="10"/>
      <c r="FK466" s="10"/>
      <c r="FL466" s="10"/>
      <c r="FM466" s="10"/>
      <c r="FN466" s="10"/>
      <c r="FO466" s="10"/>
      <c r="FP466" s="10"/>
    </row>
    <row r="467" spans="1:172" s="56" customFormat="1" ht="14" customHeight="1" x14ac:dyDescent="0.2">
      <c r="A467" s="14" t="s">
        <v>1172</v>
      </c>
      <c r="B467" s="9">
        <v>307</v>
      </c>
      <c r="C467" s="9">
        <v>315.2</v>
      </c>
      <c r="D467" s="13">
        <v>311.10000000000002</v>
      </c>
      <c r="E467" s="9">
        <v>23.55</v>
      </c>
      <c r="F467" s="9">
        <v>11.85</v>
      </c>
      <c r="G467" s="34">
        <v>113</v>
      </c>
      <c r="H467" s="9">
        <v>135.69999999999999</v>
      </c>
      <c r="I467" s="9">
        <v>47.7</v>
      </c>
      <c r="J467" s="9">
        <v>26.3</v>
      </c>
      <c r="K467" s="9">
        <v>2.6</v>
      </c>
      <c r="L467" s="13">
        <v>-22.3</v>
      </c>
      <c r="M467" s="13">
        <v>53.5</v>
      </c>
      <c r="N467" s="9">
        <v>25.4</v>
      </c>
      <c r="O467" s="9">
        <v>2.7</v>
      </c>
      <c r="P467" s="9" t="s">
        <v>1203</v>
      </c>
      <c r="Q467" s="9" t="s">
        <v>1203</v>
      </c>
      <c r="R467" s="7">
        <v>715</v>
      </c>
      <c r="S467" s="13">
        <v>-22.783510683676401</v>
      </c>
      <c r="T467" s="13">
        <v>53.137770697697398</v>
      </c>
      <c r="U467" s="9">
        <v>-40.499999999999901</v>
      </c>
      <c r="V467" s="9">
        <v>118.6</v>
      </c>
      <c r="W467" s="9">
        <v>0.7</v>
      </c>
      <c r="X467" s="7" t="s">
        <v>1204</v>
      </c>
      <c r="Y467" s="7">
        <v>0.63</v>
      </c>
      <c r="Z467" s="7">
        <v>3.1</v>
      </c>
      <c r="AA467" s="7" t="s">
        <v>148</v>
      </c>
      <c r="AB467" s="7">
        <v>0</v>
      </c>
      <c r="AC467" s="14" t="s">
        <v>1173</v>
      </c>
      <c r="AD467" s="7"/>
      <c r="AE467" s="7" t="s">
        <v>1369</v>
      </c>
      <c r="AF467" s="10" t="s">
        <v>1174</v>
      </c>
      <c r="AG467" s="14" t="s">
        <v>767</v>
      </c>
      <c r="AH467" s="10"/>
      <c r="AI467" s="10"/>
      <c r="AJ467" s="32"/>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c r="EK467" s="10"/>
      <c r="EL467" s="10"/>
      <c r="EM467" s="10"/>
      <c r="EN467" s="10"/>
      <c r="EO467" s="10"/>
      <c r="EP467" s="10"/>
      <c r="EQ467" s="10"/>
      <c r="ER467" s="10"/>
      <c r="ES467" s="10"/>
      <c r="ET467" s="10"/>
      <c r="EU467" s="10"/>
      <c r="EV467" s="10"/>
      <c r="EW467" s="10"/>
      <c r="EX467" s="10"/>
      <c r="EY467" s="10"/>
      <c r="EZ467" s="10"/>
      <c r="FA467" s="10"/>
      <c r="FB467" s="10"/>
      <c r="FC467" s="10"/>
      <c r="FD467" s="10"/>
      <c r="FE467" s="10"/>
      <c r="FF467" s="10"/>
      <c r="FG467" s="10"/>
      <c r="FH467" s="10"/>
      <c r="FI467" s="10"/>
      <c r="FJ467" s="10"/>
      <c r="FK467" s="10"/>
      <c r="FL467" s="10"/>
      <c r="FM467" s="10"/>
      <c r="FN467" s="10"/>
      <c r="FO467" s="10"/>
      <c r="FP467" s="10"/>
    </row>
    <row r="468" spans="1:172" s="56" customFormat="1" ht="14" customHeight="1" x14ac:dyDescent="0.2">
      <c r="A468" s="10" t="s">
        <v>41</v>
      </c>
      <c r="B468" s="28">
        <v>0</v>
      </c>
      <c r="C468" s="28">
        <v>2.1000000000000001E-2</v>
      </c>
      <c r="D468" s="29">
        <f>AVERAGE(B468,C468)</f>
        <v>1.0500000000000001E-2</v>
      </c>
      <c r="E468" s="7">
        <v>-38.159999999999997</v>
      </c>
      <c r="F468" s="7">
        <v>176.5</v>
      </c>
      <c r="G468" s="34">
        <v>13</v>
      </c>
      <c r="H468" s="36"/>
      <c r="I468" s="36"/>
      <c r="J468" s="10"/>
      <c r="K468" s="10"/>
      <c r="L468" s="13">
        <v>-88.854547708906196</v>
      </c>
      <c r="M468" s="13">
        <v>35.98359677201401</v>
      </c>
      <c r="N468" s="9">
        <v>16.0931997330778</v>
      </c>
      <c r="O468" s="9">
        <v>10.6590312839456</v>
      </c>
      <c r="P468" s="9"/>
      <c r="Q468" s="9"/>
      <c r="R468" s="7">
        <v>801</v>
      </c>
      <c r="S468" s="13">
        <v>-88.852633812508799</v>
      </c>
      <c r="T468" s="13">
        <v>35.682249466666299</v>
      </c>
      <c r="U468" s="9">
        <v>-12.764688409430001</v>
      </c>
      <c r="V468" s="9">
        <v>-126.480272674331</v>
      </c>
      <c r="W468" s="9">
        <v>6.45918614287777E-3</v>
      </c>
      <c r="X468" s="7" t="s">
        <v>1202</v>
      </c>
      <c r="Y468" s="10"/>
      <c r="Z468" s="7"/>
      <c r="AA468" s="10" t="b">
        <v>1</v>
      </c>
      <c r="AB468" s="7">
        <v>0</v>
      </c>
      <c r="AC468" s="10" t="s">
        <v>42</v>
      </c>
      <c r="AD468" s="7"/>
      <c r="AE468" s="7" t="s">
        <v>32</v>
      </c>
      <c r="AF468" s="10"/>
      <c r="AG468" s="14"/>
      <c r="AH468" s="10"/>
      <c r="AI468" s="10"/>
      <c r="AJ468" s="32"/>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c r="EK468" s="10"/>
      <c r="EL468" s="10"/>
      <c r="EM468" s="10"/>
      <c r="EN468" s="10"/>
      <c r="EO468" s="10"/>
      <c r="EP468" s="10"/>
      <c r="EQ468" s="10"/>
      <c r="ER468" s="10"/>
      <c r="ES468" s="10"/>
      <c r="ET468" s="10"/>
      <c r="EU468" s="10"/>
      <c r="EV468" s="10"/>
      <c r="EW468" s="10"/>
      <c r="EX468" s="10"/>
      <c r="EY468" s="10"/>
      <c r="EZ468" s="10"/>
      <c r="FA468" s="10"/>
      <c r="FB468" s="10"/>
      <c r="FC468" s="10"/>
      <c r="FD468" s="10"/>
      <c r="FE468" s="10"/>
      <c r="FF468" s="10"/>
      <c r="FG468" s="10"/>
      <c r="FH468" s="10"/>
      <c r="FI468" s="10"/>
      <c r="FJ468" s="10"/>
      <c r="FK468" s="10"/>
      <c r="FL468" s="10"/>
      <c r="FM468" s="10"/>
      <c r="FN468" s="10"/>
      <c r="FO468" s="10"/>
      <c r="FP468" s="10"/>
    </row>
    <row r="469" spans="1:172" s="68" customFormat="1" ht="14" customHeight="1" x14ac:dyDescent="0.2">
      <c r="A469" s="10" t="s">
        <v>57</v>
      </c>
      <c r="B469" s="28">
        <v>2.4E-2</v>
      </c>
      <c r="C469" s="28">
        <v>0.29199999999999998</v>
      </c>
      <c r="D469" s="29">
        <f>AVERAGE(B469,C469)</f>
        <v>0.158</v>
      </c>
      <c r="E469" s="7">
        <v>-39.229999999999997</v>
      </c>
      <c r="F469" s="7">
        <v>175.6</v>
      </c>
      <c r="G469" s="34">
        <v>24</v>
      </c>
      <c r="H469" s="36"/>
      <c r="I469" s="36"/>
      <c r="J469" s="10"/>
      <c r="K469" s="10"/>
      <c r="L469" s="13">
        <v>-74.757400238012806</v>
      </c>
      <c r="M469" s="13">
        <v>74.512560651178006</v>
      </c>
      <c r="N469" s="9">
        <v>67.548626058795406</v>
      </c>
      <c r="O469" s="9">
        <v>3.6261488911048398</v>
      </c>
      <c r="P469" s="9"/>
      <c r="Q469" s="9"/>
      <c r="R469" s="7">
        <v>801</v>
      </c>
      <c r="S469" s="13">
        <v>-74.791092266289894</v>
      </c>
      <c r="T469" s="13">
        <v>74.165545704340303</v>
      </c>
      <c r="U469" s="9">
        <v>-12.7752205990883</v>
      </c>
      <c r="V469" s="9">
        <v>-126.48134348523401</v>
      </c>
      <c r="W469" s="9">
        <v>9.7195371804225994E-2</v>
      </c>
      <c r="X469" s="7" t="s">
        <v>1202</v>
      </c>
      <c r="Y469" s="10"/>
      <c r="Z469" s="7"/>
      <c r="AA469" s="10" t="b">
        <v>1</v>
      </c>
      <c r="AB469" s="7">
        <v>0</v>
      </c>
      <c r="AC469" s="10" t="s">
        <v>58</v>
      </c>
      <c r="AD469" s="7"/>
      <c r="AE469" s="7" t="s">
        <v>32</v>
      </c>
      <c r="AF469" s="10"/>
      <c r="AG469" s="14"/>
      <c r="AH469" s="10"/>
      <c r="AI469" s="11"/>
      <c r="AJ469" s="32"/>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c r="DV469" s="11"/>
      <c r="DW469" s="11"/>
      <c r="DX469" s="11"/>
      <c r="DY469" s="11"/>
      <c r="DZ469" s="11"/>
      <c r="EA469" s="11"/>
      <c r="EB469" s="11"/>
      <c r="EC469" s="11"/>
      <c r="ED469" s="11"/>
      <c r="EE469" s="11"/>
      <c r="EF469" s="11"/>
      <c r="EG469" s="11"/>
      <c r="EH469" s="11"/>
      <c r="EI469" s="11"/>
      <c r="EJ469" s="11"/>
      <c r="EK469" s="11"/>
      <c r="EL469" s="11"/>
      <c r="EM469" s="11"/>
      <c r="EN469" s="11"/>
      <c r="EO469" s="11"/>
      <c r="EP469" s="11"/>
      <c r="EQ469" s="11"/>
      <c r="ER469" s="11"/>
      <c r="ES469" s="11"/>
      <c r="ET469" s="11"/>
      <c r="EU469" s="11"/>
      <c r="EV469" s="11"/>
      <c r="EW469" s="11"/>
      <c r="EX469" s="11"/>
      <c r="EY469" s="11"/>
      <c r="EZ469" s="11"/>
      <c r="FA469" s="11"/>
      <c r="FB469" s="11"/>
      <c r="FC469" s="11"/>
      <c r="FD469" s="11"/>
      <c r="FE469" s="11"/>
      <c r="FF469" s="11"/>
      <c r="FG469" s="11"/>
      <c r="FH469" s="11"/>
      <c r="FI469" s="11"/>
      <c r="FJ469" s="11"/>
      <c r="FK469" s="11"/>
      <c r="FL469" s="11"/>
      <c r="FM469" s="11"/>
      <c r="FN469" s="11"/>
      <c r="FO469" s="11"/>
      <c r="FP469" s="11"/>
    </row>
    <row r="470" spans="1:172" s="69" customFormat="1" ht="14" customHeight="1" x14ac:dyDescent="0.2">
      <c r="A470" s="10" t="s">
        <v>117</v>
      </c>
      <c r="B470" s="28">
        <v>0.25</v>
      </c>
      <c r="C470" s="28">
        <v>5</v>
      </c>
      <c r="D470" s="29">
        <f>AVERAGE(B470,C470)</f>
        <v>2.625</v>
      </c>
      <c r="E470" s="7">
        <v>-37.659999999999997</v>
      </c>
      <c r="F470" s="7">
        <v>144.28</v>
      </c>
      <c r="G470" s="34">
        <v>37</v>
      </c>
      <c r="H470" s="10"/>
      <c r="I470" s="10"/>
      <c r="J470" s="10"/>
      <c r="K470" s="10"/>
      <c r="L470" s="13">
        <v>-85.305479451113101</v>
      </c>
      <c r="M470" s="13">
        <v>213.47785447751932</v>
      </c>
      <c r="N470" s="9">
        <v>18.8648804141319</v>
      </c>
      <c r="O470" s="9">
        <v>5.5683747613250496</v>
      </c>
      <c r="P470" s="9"/>
      <c r="Q470" s="9"/>
      <c r="R470" s="7">
        <v>801</v>
      </c>
      <c r="S470" s="13">
        <v>-85.591121809794799</v>
      </c>
      <c r="T470" s="13">
        <v>232.331725632879</v>
      </c>
      <c r="U470" s="9">
        <v>-14.3791263958722</v>
      </c>
      <c r="V470" s="9">
        <v>-126.635040815461</v>
      </c>
      <c r="W470" s="9">
        <v>1.6012588046023</v>
      </c>
      <c r="X470" s="7" t="s">
        <v>1202</v>
      </c>
      <c r="Y470" s="10"/>
      <c r="Z470" s="7"/>
      <c r="AA470" s="10" t="b">
        <v>1</v>
      </c>
      <c r="AB470" s="7">
        <v>0</v>
      </c>
      <c r="AC470" s="10" t="s">
        <v>118</v>
      </c>
      <c r="AD470" s="7"/>
      <c r="AE470" s="7" t="s">
        <v>32</v>
      </c>
      <c r="AF470" s="10"/>
      <c r="AG470" s="14"/>
      <c r="AH470" s="10"/>
      <c r="AI470" s="12"/>
      <c r="AJ470" s="3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c r="DK470" s="12"/>
      <c r="DL470" s="12"/>
      <c r="DM470" s="12"/>
      <c r="DN470" s="12"/>
      <c r="DO470" s="12"/>
      <c r="DP470" s="12"/>
      <c r="DQ470" s="12"/>
      <c r="DR470" s="12"/>
      <c r="DS470" s="12"/>
      <c r="DT470" s="12"/>
      <c r="DU470" s="12"/>
      <c r="DV470" s="12"/>
      <c r="DW470" s="12"/>
      <c r="DX470" s="12"/>
      <c r="DY470" s="12"/>
      <c r="DZ470" s="12"/>
      <c r="EA470" s="12"/>
      <c r="EB470" s="12"/>
      <c r="EC470" s="12"/>
      <c r="ED470" s="12"/>
      <c r="EE470" s="12"/>
      <c r="EF470" s="12"/>
      <c r="EG470" s="12"/>
      <c r="EH470" s="12"/>
      <c r="EI470" s="12"/>
      <c r="EJ470" s="12"/>
      <c r="EK470" s="12"/>
      <c r="EL470" s="12"/>
      <c r="EM470" s="12"/>
      <c r="EN470" s="12"/>
      <c r="EO470" s="12"/>
      <c r="EP470" s="12"/>
      <c r="EQ470" s="12"/>
      <c r="ER470" s="12"/>
      <c r="ES470" s="12"/>
      <c r="ET470" s="12"/>
      <c r="EU470" s="12"/>
      <c r="EV470" s="12"/>
      <c r="EW470" s="12"/>
      <c r="EX470" s="12"/>
      <c r="EY470" s="12"/>
      <c r="EZ470" s="12"/>
      <c r="FA470" s="12"/>
      <c r="FB470" s="12"/>
      <c r="FC470" s="12"/>
      <c r="FD470" s="12"/>
      <c r="FE470" s="12"/>
      <c r="FF470" s="12"/>
      <c r="FG470" s="12"/>
      <c r="FH470" s="12"/>
      <c r="FI470" s="12"/>
      <c r="FJ470" s="12"/>
      <c r="FK470" s="12"/>
      <c r="FL470" s="12"/>
      <c r="FM470" s="12"/>
      <c r="FN470" s="12"/>
      <c r="FO470" s="12"/>
      <c r="FP470" s="12"/>
    </row>
    <row r="471" spans="1:172" s="69" customFormat="1" ht="14" customHeight="1" x14ac:dyDescent="0.2">
      <c r="A471" s="10" t="s">
        <v>189</v>
      </c>
      <c r="B471" s="9">
        <v>15.032</v>
      </c>
      <c r="C471" s="9">
        <v>17.234999999999999</v>
      </c>
      <c r="D471" s="13">
        <v>16.133499999999998</v>
      </c>
      <c r="E471" s="28">
        <v>-32.841529411764704</v>
      </c>
      <c r="F471" s="28">
        <v>146.44670588235294</v>
      </c>
      <c r="G471" s="34">
        <v>17</v>
      </c>
      <c r="H471" s="9">
        <v>10.199999999999999</v>
      </c>
      <c r="I471" s="9">
        <v>-57.2</v>
      </c>
      <c r="J471" s="9">
        <v>33.9</v>
      </c>
      <c r="K471" s="9">
        <v>6.7</v>
      </c>
      <c r="L471" s="13">
        <v>-80.2</v>
      </c>
      <c r="M471" s="13">
        <v>95.4</v>
      </c>
      <c r="N471" s="9">
        <v>20.5</v>
      </c>
      <c r="O471" s="9">
        <v>8.6</v>
      </c>
      <c r="P471" s="9" t="s">
        <v>1203</v>
      </c>
      <c r="Q471" s="9" t="s">
        <v>1203</v>
      </c>
      <c r="R471" s="7">
        <v>801</v>
      </c>
      <c r="S471" s="13">
        <v>-82.752302399672701</v>
      </c>
      <c r="T471" s="13">
        <v>33.606269205730101</v>
      </c>
      <c r="U471" s="9">
        <v>-16.7413144234478</v>
      </c>
      <c r="V471" s="9">
        <v>-130.17136031493999</v>
      </c>
      <c r="W471" s="9">
        <v>9.1344696887071208</v>
      </c>
      <c r="X471" s="7" t="s">
        <v>1202</v>
      </c>
      <c r="Y471" s="7"/>
      <c r="Z471" s="7"/>
      <c r="AA471" s="10" t="b">
        <v>1</v>
      </c>
      <c r="AB471" s="7">
        <v>0</v>
      </c>
      <c r="AC471" s="14" t="s">
        <v>190</v>
      </c>
      <c r="AD471" s="7"/>
      <c r="AE471" s="7" t="s">
        <v>1369</v>
      </c>
      <c r="AF471" s="10" t="s">
        <v>191</v>
      </c>
      <c r="AG471" s="14"/>
      <c r="AH471" s="10"/>
      <c r="AI471" s="12"/>
      <c r="AJ471" s="3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c r="DK471" s="12"/>
      <c r="DL471" s="12"/>
      <c r="DM471" s="12"/>
      <c r="DN471" s="12"/>
      <c r="DO471" s="12"/>
      <c r="DP471" s="12"/>
      <c r="DQ471" s="12"/>
      <c r="DR471" s="12"/>
      <c r="DS471" s="12"/>
      <c r="DT471" s="12"/>
      <c r="DU471" s="12"/>
      <c r="DV471" s="12"/>
      <c r="DW471" s="12"/>
      <c r="DX471" s="12"/>
      <c r="DY471" s="12"/>
      <c r="DZ471" s="12"/>
      <c r="EA471" s="12"/>
      <c r="EB471" s="12"/>
      <c r="EC471" s="12"/>
      <c r="ED471" s="12"/>
      <c r="EE471" s="12"/>
      <c r="EF471" s="12"/>
      <c r="EG471" s="12"/>
      <c r="EH471" s="12"/>
      <c r="EI471" s="12"/>
      <c r="EJ471" s="12"/>
      <c r="EK471" s="12"/>
      <c r="EL471" s="12"/>
      <c r="EM471" s="12"/>
      <c r="EN471" s="12"/>
      <c r="EO471" s="12"/>
      <c r="EP471" s="12"/>
      <c r="EQ471" s="12"/>
      <c r="ER471" s="12"/>
      <c r="ES471" s="12"/>
      <c r="ET471" s="12"/>
      <c r="EU471" s="12"/>
      <c r="EV471" s="12"/>
      <c r="EW471" s="12"/>
      <c r="EX471" s="12"/>
      <c r="EY471" s="12"/>
      <c r="EZ471" s="12"/>
      <c r="FA471" s="12"/>
      <c r="FB471" s="12"/>
      <c r="FC471" s="12"/>
      <c r="FD471" s="12"/>
      <c r="FE471" s="12"/>
      <c r="FF471" s="12"/>
      <c r="FG471" s="12"/>
      <c r="FH471" s="12"/>
      <c r="FI471" s="12"/>
      <c r="FJ471" s="12"/>
      <c r="FK471" s="12"/>
      <c r="FL471" s="12"/>
      <c r="FM471" s="12"/>
      <c r="FN471" s="12"/>
      <c r="FO471" s="12"/>
      <c r="FP471" s="12"/>
    </row>
    <row r="472" spans="1:172" s="80" customFormat="1" ht="15" customHeight="1" x14ac:dyDescent="0.2">
      <c r="A472" s="56" t="s">
        <v>1428</v>
      </c>
      <c r="B472" s="54">
        <v>16.5</v>
      </c>
      <c r="C472" s="54">
        <v>18.5</v>
      </c>
      <c r="D472" s="58">
        <v>17.5</v>
      </c>
      <c r="E472" s="54">
        <v>-40.83</v>
      </c>
      <c r="F472" s="54">
        <v>172.9</v>
      </c>
      <c r="G472" s="53">
        <v>120</v>
      </c>
      <c r="H472" s="54">
        <v>195.2</v>
      </c>
      <c r="I472" s="54">
        <v>62.5</v>
      </c>
      <c r="J472" s="54">
        <v>62.5</v>
      </c>
      <c r="K472" s="54">
        <v>1.8</v>
      </c>
      <c r="L472" s="55">
        <v>-78.400000000000006</v>
      </c>
      <c r="M472" s="55">
        <v>103</v>
      </c>
      <c r="N472" s="54"/>
      <c r="O472" s="54"/>
      <c r="P472" s="54">
        <v>33.812807903118816</v>
      </c>
      <c r="Q472" s="54">
        <v>2.2489952525241166</v>
      </c>
      <c r="R472" s="52">
        <v>801</v>
      </c>
      <c r="S472" s="55">
        <v>-82.876095360692602</v>
      </c>
      <c r="T472" s="55">
        <v>46.098341442069703</v>
      </c>
      <c r="U472" s="54">
        <v>-16.941720475027999</v>
      </c>
      <c r="V472" s="54">
        <v>-130.39115220461201</v>
      </c>
      <c r="W472" s="54">
        <v>9.8700196134117206</v>
      </c>
      <c r="X472" s="52" t="s">
        <v>1204</v>
      </c>
      <c r="Y472" s="56"/>
      <c r="Z472" s="56"/>
      <c r="AA472" s="56" t="b">
        <v>1</v>
      </c>
      <c r="AB472" s="52" t="s">
        <v>165</v>
      </c>
      <c r="AC472" s="49" t="s">
        <v>196</v>
      </c>
      <c r="AD472" s="52"/>
      <c r="AE472" s="52" t="s">
        <v>147</v>
      </c>
      <c r="AF472" s="56" t="s">
        <v>164</v>
      </c>
      <c r="AG472" s="49" t="s">
        <v>1254</v>
      </c>
      <c r="AH472" s="56"/>
      <c r="AI472" s="3"/>
      <c r="AJ472" s="32"/>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row>
    <row r="473" spans="1:172" s="80" customFormat="1" ht="15" customHeight="1" x14ac:dyDescent="0.2">
      <c r="A473" s="10" t="s">
        <v>212</v>
      </c>
      <c r="B473" s="9">
        <v>20.2</v>
      </c>
      <c r="C473" s="9">
        <v>26.7</v>
      </c>
      <c r="D473" s="13">
        <v>23.45</v>
      </c>
      <c r="E473" s="28">
        <v>-28.2</v>
      </c>
      <c r="F473" s="28">
        <v>153</v>
      </c>
      <c r="G473" s="34">
        <v>56</v>
      </c>
      <c r="H473" s="9">
        <v>12.4</v>
      </c>
      <c r="I473" s="9">
        <v>-58.2</v>
      </c>
      <c r="J473" s="9">
        <v>38.200000000000003</v>
      </c>
      <c r="K473" s="9">
        <v>3.1</v>
      </c>
      <c r="L473" s="13">
        <v>-74.2</v>
      </c>
      <c r="M473" s="13">
        <v>74.8</v>
      </c>
      <c r="N473" s="9">
        <v>22.5</v>
      </c>
      <c r="O473" s="9">
        <v>4.0999999999999996</v>
      </c>
      <c r="P473" s="9" t="s">
        <v>1203</v>
      </c>
      <c r="Q473" s="9" t="s">
        <v>1203</v>
      </c>
      <c r="R473" s="7">
        <v>801</v>
      </c>
      <c r="S473" s="13">
        <v>-74.385905640824504</v>
      </c>
      <c r="T473" s="13">
        <v>24.204327007888999</v>
      </c>
      <c r="U473" s="9">
        <v>-16.225502749697402</v>
      </c>
      <c r="V473" s="9">
        <v>-131.26041776689499</v>
      </c>
      <c r="W473" s="9">
        <v>13.295022051992699</v>
      </c>
      <c r="X473" s="7" t="s">
        <v>1202</v>
      </c>
      <c r="Y473" s="7"/>
      <c r="Z473" s="7"/>
      <c r="AA473" s="10" t="b">
        <v>1</v>
      </c>
      <c r="AB473" s="7">
        <v>0</v>
      </c>
      <c r="AC473" s="14" t="s">
        <v>213</v>
      </c>
      <c r="AD473" s="7"/>
      <c r="AE473" s="7" t="s">
        <v>1369</v>
      </c>
      <c r="AF473" s="10" t="s">
        <v>200</v>
      </c>
      <c r="AG473" s="14"/>
      <c r="AH473" s="10"/>
      <c r="AI473" s="3"/>
      <c r="AJ473" s="32"/>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row>
    <row r="474" spans="1:172" s="80" customFormat="1" ht="15" customHeight="1" x14ac:dyDescent="0.2">
      <c r="A474" s="10" t="s">
        <v>223</v>
      </c>
      <c r="B474" s="9">
        <v>27.3</v>
      </c>
      <c r="C474" s="9">
        <v>28.9</v>
      </c>
      <c r="D474" s="13">
        <v>28.1</v>
      </c>
      <c r="E474" s="28">
        <v>-24.095333333333329</v>
      </c>
      <c r="F474" s="28">
        <v>148.09599999999998</v>
      </c>
      <c r="G474" s="34">
        <v>18</v>
      </c>
      <c r="H474" s="9"/>
      <c r="I474" s="9"/>
      <c r="J474" s="9">
        <v>13.7</v>
      </c>
      <c r="K474" s="9">
        <v>9.6999999999999993</v>
      </c>
      <c r="L474" s="13">
        <v>-70.5</v>
      </c>
      <c r="M474" s="13">
        <v>120.6</v>
      </c>
      <c r="N474" s="9">
        <v>13.7</v>
      </c>
      <c r="O474" s="9">
        <v>9.6999999999999993</v>
      </c>
      <c r="P474" s="9" t="s">
        <v>1203</v>
      </c>
      <c r="Q474" s="9" t="s">
        <v>1203</v>
      </c>
      <c r="R474" s="7">
        <v>801</v>
      </c>
      <c r="S474" s="13">
        <v>-82.415335561748293</v>
      </c>
      <c r="T474" s="13">
        <v>70.5635761199363</v>
      </c>
      <c r="U474" s="9">
        <v>-16.648196674282499</v>
      </c>
      <c r="V474" s="9">
        <v>-130.391072270032</v>
      </c>
      <c r="W474" s="9">
        <v>15.921603585422</v>
      </c>
      <c r="X474" s="7" t="s">
        <v>1202</v>
      </c>
      <c r="Y474" s="10"/>
      <c r="Z474" s="10"/>
      <c r="AA474" s="10" t="b">
        <v>1</v>
      </c>
      <c r="AB474" s="7">
        <v>0</v>
      </c>
      <c r="AC474" s="14" t="s">
        <v>224</v>
      </c>
      <c r="AD474" s="7"/>
      <c r="AE474" s="7" t="s">
        <v>1369</v>
      </c>
      <c r="AF474" s="10" t="s">
        <v>226</v>
      </c>
      <c r="AG474" s="10" t="s">
        <v>225</v>
      </c>
      <c r="AH474" s="10"/>
      <c r="AI474" s="3"/>
      <c r="AJ474" s="32"/>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row>
    <row r="475" spans="1:172" s="80" customFormat="1" ht="15" customHeight="1" x14ac:dyDescent="0.2">
      <c r="A475" s="10" t="s">
        <v>232</v>
      </c>
      <c r="B475" s="9">
        <v>28.2</v>
      </c>
      <c r="C475" s="9">
        <v>31.2</v>
      </c>
      <c r="D475" s="13">
        <v>29.7</v>
      </c>
      <c r="E475" s="28">
        <v>-22.657741935483866</v>
      </c>
      <c r="F475" s="28">
        <v>147.97000000000003</v>
      </c>
      <c r="G475" s="34">
        <v>29</v>
      </c>
      <c r="H475" s="9"/>
      <c r="I475" s="9"/>
      <c r="J475" s="9">
        <v>10.1</v>
      </c>
      <c r="K475" s="9">
        <v>8.8000000000000007</v>
      </c>
      <c r="L475" s="13">
        <v>-64.599999999999994</v>
      </c>
      <c r="M475" s="13">
        <v>111.8</v>
      </c>
      <c r="N475" s="9">
        <v>10.1</v>
      </c>
      <c r="O475" s="9">
        <v>8.8000000000000007</v>
      </c>
      <c r="P475" s="9" t="s">
        <v>1203</v>
      </c>
      <c r="Q475" s="9" t="s">
        <v>1203</v>
      </c>
      <c r="R475" s="7">
        <v>801</v>
      </c>
      <c r="S475" s="13">
        <v>-75.929313213489095</v>
      </c>
      <c r="T475" s="13">
        <v>73.019194936509706</v>
      </c>
      <c r="U475" s="9">
        <v>-16.698507808125601</v>
      </c>
      <c r="V475" s="9">
        <v>-129.783541327786</v>
      </c>
      <c r="W475" s="9">
        <v>16.7939337768046</v>
      </c>
      <c r="X475" s="7" t="s">
        <v>1202</v>
      </c>
      <c r="Y475" s="7"/>
      <c r="Z475" s="7"/>
      <c r="AA475" s="10" t="b">
        <v>1</v>
      </c>
      <c r="AB475" s="7">
        <v>0</v>
      </c>
      <c r="AC475" s="14" t="s">
        <v>224</v>
      </c>
      <c r="AD475" s="7"/>
      <c r="AE475" s="7" t="s">
        <v>1369</v>
      </c>
      <c r="AF475" s="10" t="s">
        <v>233</v>
      </c>
      <c r="AG475" s="14"/>
      <c r="AH475" s="10"/>
      <c r="AI475" s="3"/>
      <c r="AJ475" s="32"/>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row>
    <row r="476" spans="1:172" s="80" customFormat="1" ht="15" customHeight="1" x14ac:dyDescent="0.2">
      <c r="A476" s="10" t="s">
        <v>247</v>
      </c>
      <c r="B476" s="9">
        <v>33.1</v>
      </c>
      <c r="C476" s="9">
        <v>34.1</v>
      </c>
      <c r="D476" s="13">
        <v>33.6</v>
      </c>
      <c r="E476" s="28">
        <v>-20.977777777777781</v>
      </c>
      <c r="F476" s="28">
        <v>149.00277777777777</v>
      </c>
      <c r="G476" s="34">
        <v>14</v>
      </c>
      <c r="H476" s="9"/>
      <c r="I476" s="9"/>
      <c r="J476" s="9">
        <v>32.200000000000003</v>
      </c>
      <c r="K476" s="9">
        <v>7.1</v>
      </c>
      <c r="L476" s="13">
        <v>-67.099999999999994</v>
      </c>
      <c r="M476" s="13">
        <v>121.4</v>
      </c>
      <c r="N476" s="9">
        <v>32.200000000000003</v>
      </c>
      <c r="O476" s="9">
        <v>7.1</v>
      </c>
      <c r="P476" s="9" t="s">
        <v>1203</v>
      </c>
      <c r="Q476" s="9" t="s">
        <v>1203</v>
      </c>
      <c r="R476" s="7">
        <v>801</v>
      </c>
      <c r="S476" s="13">
        <v>-80.609340020993599</v>
      </c>
      <c r="T476" s="13">
        <v>68.783114191835693</v>
      </c>
      <c r="U476" s="9">
        <v>-17.243270929269201</v>
      </c>
      <c r="V476" s="9">
        <v>-128.18031238202499</v>
      </c>
      <c r="W476" s="9">
        <v>18.864826572727299</v>
      </c>
      <c r="X476" s="7" t="s">
        <v>1202</v>
      </c>
      <c r="Y476" s="7"/>
      <c r="Z476" s="7"/>
      <c r="AA476" s="10" t="b">
        <v>1</v>
      </c>
      <c r="AB476" s="7">
        <v>0</v>
      </c>
      <c r="AC476" s="14" t="s">
        <v>224</v>
      </c>
      <c r="AD476" s="7"/>
      <c r="AE476" s="7" t="s">
        <v>1369</v>
      </c>
      <c r="AF476" s="10" t="s">
        <v>248</v>
      </c>
      <c r="AG476" s="14"/>
      <c r="AH476" s="10"/>
      <c r="AI476" s="3"/>
      <c r="AJ476" s="32"/>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row>
    <row r="477" spans="1:172" s="80" customFormat="1" ht="15" customHeight="1" x14ac:dyDescent="0.2">
      <c r="A477" s="10" t="s">
        <v>249</v>
      </c>
      <c r="B477" s="9">
        <v>33</v>
      </c>
      <c r="C477" s="9">
        <v>34.4</v>
      </c>
      <c r="D477" s="13">
        <v>33.700000000000003</v>
      </c>
      <c r="E477" s="28">
        <v>-31.7</v>
      </c>
      <c r="F477" s="28">
        <v>150.19999999999999</v>
      </c>
      <c r="G477" s="34">
        <v>36</v>
      </c>
      <c r="H477" s="9">
        <v>20.399999999999999</v>
      </c>
      <c r="I477" s="9">
        <v>-59.2</v>
      </c>
      <c r="J477" s="9">
        <v>45.49</v>
      </c>
      <c r="K477" s="9">
        <v>3.5</v>
      </c>
      <c r="L477" s="13">
        <v>-71.099999999999994</v>
      </c>
      <c r="M477" s="13">
        <v>95.5</v>
      </c>
      <c r="N477" s="9">
        <v>25.7</v>
      </c>
      <c r="O477" s="9">
        <v>4.8</v>
      </c>
      <c r="P477" s="9" t="s">
        <v>1203</v>
      </c>
      <c r="Q477" s="9" t="s">
        <v>1203</v>
      </c>
      <c r="R477" s="30">
        <v>801</v>
      </c>
      <c r="S477" s="13">
        <v>-74.820855732127299</v>
      </c>
      <c r="T477" s="13">
        <v>28.457976253124698</v>
      </c>
      <c r="U477" s="9">
        <v>-17.2607836606274</v>
      </c>
      <c r="V477" s="9">
        <v>-128.14497199480701</v>
      </c>
      <c r="W477" s="9">
        <v>18.917642388014201</v>
      </c>
      <c r="X477" s="7" t="s">
        <v>1202</v>
      </c>
      <c r="Y477" s="10"/>
      <c r="Z477" s="10"/>
      <c r="AA477" s="10" t="b">
        <v>1</v>
      </c>
      <c r="AB477" s="7">
        <v>0</v>
      </c>
      <c r="AC477" s="14" t="s">
        <v>279</v>
      </c>
      <c r="AD477" s="7"/>
      <c r="AE477" s="7" t="s">
        <v>1369</v>
      </c>
      <c r="AF477" s="10" t="s">
        <v>250</v>
      </c>
      <c r="AG477" s="14"/>
      <c r="AH477" s="10"/>
      <c r="AI477" s="3"/>
      <c r="AJ477" s="32"/>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row>
    <row r="478" spans="1:172" s="80" customFormat="1" ht="15" customHeight="1" x14ac:dyDescent="0.2">
      <c r="A478" s="10" t="s">
        <v>1427</v>
      </c>
      <c r="B478" s="9">
        <v>52</v>
      </c>
      <c r="C478" s="9">
        <v>54</v>
      </c>
      <c r="D478" s="13">
        <v>53</v>
      </c>
      <c r="E478" s="9">
        <v>-32</v>
      </c>
      <c r="F478" s="9">
        <v>151.4</v>
      </c>
      <c r="G478" s="34">
        <v>33</v>
      </c>
      <c r="H478" s="9">
        <v>193</v>
      </c>
      <c r="I478" s="9">
        <v>65.5</v>
      </c>
      <c r="J478" s="9">
        <v>48.5</v>
      </c>
      <c r="K478" s="9">
        <v>3.6</v>
      </c>
      <c r="L478" s="13">
        <v>-70.5</v>
      </c>
      <c r="M478" s="13">
        <v>125.6</v>
      </c>
      <c r="N478" s="9">
        <v>23.2</v>
      </c>
      <c r="O478" s="9">
        <v>5.3</v>
      </c>
      <c r="P478" s="9" t="s">
        <v>1203</v>
      </c>
      <c r="Q478" s="9" t="s">
        <v>1203</v>
      </c>
      <c r="R478" s="7">
        <v>801</v>
      </c>
      <c r="S478" s="13">
        <v>-79.792100224875597</v>
      </c>
      <c r="T478" s="13">
        <v>21.498775206799799</v>
      </c>
      <c r="U478" s="9">
        <v>-13.679215760056801</v>
      </c>
      <c r="V478" s="9">
        <v>-121.28805097886899</v>
      </c>
      <c r="W478" s="9">
        <v>24.145732730566401</v>
      </c>
      <c r="X478" s="7" t="s">
        <v>1202</v>
      </c>
      <c r="Y478" s="7"/>
      <c r="Z478" s="7"/>
      <c r="AA478" s="10" t="b">
        <v>1</v>
      </c>
      <c r="AB478" s="7">
        <v>0</v>
      </c>
      <c r="AC478" s="14" t="s">
        <v>279</v>
      </c>
      <c r="AD478" s="30">
        <v>592</v>
      </c>
      <c r="AE478" s="7" t="s">
        <v>147</v>
      </c>
      <c r="AF478" s="14" t="s">
        <v>1290</v>
      </c>
      <c r="AG478" s="10"/>
      <c r="AH478" s="10"/>
      <c r="AI478" s="3"/>
      <c r="AJ478" s="32"/>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row>
    <row r="479" spans="1:172" s="80" customFormat="1" ht="15" customHeight="1" x14ac:dyDescent="0.15">
      <c r="A479" s="56" t="s">
        <v>459</v>
      </c>
      <c r="B479" s="54">
        <v>92</v>
      </c>
      <c r="C479" s="54">
        <v>96</v>
      </c>
      <c r="D479" s="55">
        <v>94</v>
      </c>
      <c r="E479" s="50">
        <v>-36.299999999999997</v>
      </c>
      <c r="F479" s="50">
        <v>150.69999999999999</v>
      </c>
      <c r="G479" s="53">
        <v>22</v>
      </c>
      <c r="H479" s="54">
        <v>13</v>
      </c>
      <c r="I479" s="54">
        <v>-82</v>
      </c>
      <c r="J479" s="54">
        <v>16</v>
      </c>
      <c r="K479" s="54">
        <v>8</v>
      </c>
      <c r="L479" s="55">
        <v>-51.482514248504202</v>
      </c>
      <c r="M479" s="55">
        <v>145.09069682568401</v>
      </c>
      <c r="N479" s="54"/>
      <c r="O479" s="54"/>
      <c r="P479" s="61">
        <v>4.3553976894622197</v>
      </c>
      <c r="Q479" s="61">
        <v>16.870440991348808</v>
      </c>
      <c r="R479" s="52">
        <v>801</v>
      </c>
      <c r="S479" s="55">
        <v>-69.316014840509794</v>
      </c>
      <c r="T479" s="55">
        <v>92.627355574500498</v>
      </c>
      <c r="U479" s="54">
        <v>-13.056666220554099</v>
      </c>
      <c r="V479" s="54">
        <v>-94.528880676271498</v>
      </c>
      <c r="W479" s="54">
        <v>30.265616649047999</v>
      </c>
      <c r="X479" s="52" t="s">
        <v>1202</v>
      </c>
      <c r="Y479" s="52"/>
      <c r="Z479" s="52"/>
      <c r="AA479" s="52" t="b">
        <v>0</v>
      </c>
      <c r="AB479" s="52">
        <v>0</v>
      </c>
      <c r="AC479" s="49" t="s">
        <v>460</v>
      </c>
      <c r="AD479" s="52"/>
      <c r="AE479" s="52" t="s">
        <v>1369</v>
      </c>
      <c r="AF479" s="56" t="s">
        <v>461</v>
      </c>
      <c r="AG479" s="49"/>
      <c r="AH479" s="56"/>
      <c r="AI479" s="3"/>
      <c r="AJ479" s="32"/>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row>
    <row r="480" spans="1:172" s="80" customFormat="1" ht="15" customHeight="1" x14ac:dyDescent="0.15">
      <c r="A480" s="10" t="s">
        <v>459</v>
      </c>
      <c r="B480" s="9">
        <v>92</v>
      </c>
      <c r="C480" s="9">
        <v>96</v>
      </c>
      <c r="D480" s="13">
        <v>94</v>
      </c>
      <c r="E480" s="28">
        <v>-36.299999999999997</v>
      </c>
      <c r="F480" s="28">
        <v>150.69999999999999</v>
      </c>
      <c r="G480" s="34">
        <v>22</v>
      </c>
      <c r="H480" s="9">
        <v>19</v>
      </c>
      <c r="I480" s="9">
        <v>-79</v>
      </c>
      <c r="J480" s="9">
        <v>39.4</v>
      </c>
      <c r="K480" s="9">
        <v>5</v>
      </c>
      <c r="L480" s="13">
        <v>-55.8831248751423</v>
      </c>
      <c r="M480" s="13">
        <v>138.55865734576997</v>
      </c>
      <c r="N480" s="9"/>
      <c r="O480" s="9"/>
      <c r="P480" s="37">
        <v>11.52254272757849</v>
      </c>
      <c r="Q480" s="37">
        <v>9.5467707507222421</v>
      </c>
      <c r="R480" s="7">
        <v>801</v>
      </c>
      <c r="S480" s="13">
        <v>-68.5737849932503</v>
      </c>
      <c r="T480" s="13">
        <v>76.414112387331301</v>
      </c>
      <c r="U480" s="9">
        <v>-13.056666220554099</v>
      </c>
      <c r="V480" s="9">
        <v>-94.528880676271498</v>
      </c>
      <c r="W480" s="9">
        <v>30.265616649047999</v>
      </c>
      <c r="X480" s="7" t="s">
        <v>1202</v>
      </c>
      <c r="Y480" s="7"/>
      <c r="Z480" s="7"/>
      <c r="AA480" s="7" t="b">
        <v>1</v>
      </c>
      <c r="AB480" s="7">
        <v>0</v>
      </c>
      <c r="AC480" s="14" t="s">
        <v>460</v>
      </c>
      <c r="AD480" s="7"/>
      <c r="AE480" s="7" t="s">
        <v>1369</v>
      </c>
      <c r="AF480" s="10" t="s">
        <v>461</v>
      </c>
      <c r="AG480" s="14"/>
      <c r="AH480" s="10"/>
      <c r="AI480" s="3"/>
      <c r="AJ480" s="32"/>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row>
    <row r="481" spans="1:172" s="80" customFormat="1" ht="15" customHeight="1" x14ac:dyDescent="0.2">
      <c r="A481" s="56" t="s">
        <v>484</v>
      </c>
      <c r="B481" s="54">
        <v>110</v>
      </c>
      <c r="C481" s="54">
        <v>115</v>
      </c>
      <c r="D481" s="55">
        <v>112.5</v>
      </c>
      <c r="E481" s="54">
        <v>-38.4</v>
      </c>
      <c r="F481" s="54">
        <v>144.19999999999999</v>
      </c>
      <c r="G481" s="53">
        <v>18</v>
      </c>
      <c r="H481" s="54">
        <v>344.5</v>
      </c>
      <c r="I481" s="54">
        <v>-84.2</v>
      </c>
      <c r="J481" s="54">
        <v>359.9</v>
      </c>
      <c r="K481" s="54">
        <v>1.8</v>
      </c>
      <c r="L481" s="55">
        <v>-48.9</v>
      </c>
      <c r="M481" s="58">
        <v>148.69999999999999</v>
      </c>
      <c r="N481" s="52">
        <v>97.3</v>
      </c>
      <c r="O481" s="54">
        <v>3.6</v>
      </c>
      <c r="P481" s="71" t="s">
        <v>1203</v>
      </c>
      <c r="Q481" s="71" t="s">
        <v>1203</v>
      </c>
      <c r="R481" s="52">
        <v>801</v>
      </c>
      <c r="S481" s="55">
        <v>-60.3459182084204</v>
      </c>
      <c r="T481" s="55">
        <v>90.314774304142205</v>
      </c>
      <c r="U481" s="54">
        <v>-19.1085503240798</v>
      </c>
      <c r="V481" s="54">
        <v>-78.6274237832924</v>
      </c>
      <c r="W481" s="54">
        <v>34.926347718734199</v>
      </c>
      <c r="X481" s="52" t="s">
        <v>1204</v>
      </c>
      <c r="Y481" s="56"/>
      <c r="Z481" s="56"/>
      <c r="AA481" s="52" t="b">
        <v>0</v>
      </c>
      <c r="AB481" s="52" t="s">
        <v>31</v>
      </c>
      <c r="AC481" s="56" t="s">
        <v>203</v>
      </c>
      <c r="AD481" s="59">
        <v>1201</v>
      </c>
      <c r="AE481" s="52" t="s">
        <v>147</v>
      </c>
      <c r="AF481" s="56" t="s">
        <v>485</v>
      </c>
      <c r="AG481" s="49"/>
      <c r="AH481" s="56"/>
      <c r="AI481" s="3"/>
      <c r="AJ481" s="32"/>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row>
    <row r="482" spans="1:172" s="80" customFormat="1" ht="15" customHeight="1" x14ac:dyDescent="0.2">
      <c r="A482" s="56" t="s">
        <v>617</v>
      </c>
      <c r="B482" s="54">
        <v>168</v>
      </c>
      <c r="C482" s="54">
        <v>168</v>
      </c>
      <c r="D482" s="55">
        <v>168</v>
      </c>
      <c r="E482" s="54">
        <v>-33.799999999999997</v>
      </c>
      <c r="F482" s="54">
        <v>150.9</v>
      </c>
      <c r="G482" s="58">
        <v>10</v>
      </c>
      <c r="H482" s="54">
        <v>322.10000000000002</v>
      </c>
      <c r="I482" s="54">
        <v>-74.900000000000006</v>
      </c>
      <c r="J482" s="54">
        <v>171.4</v>
      </c>
      <c r="K482" s="54">
        <v>3.7</v>
      </c>
      <c r="L482" s="55">
        <v>-53</v>
      </c>
      <c r="M482" s="55">
        <v>179.6</v>
      </c>
      <c r="N482" s="54">
        <v>57.9</v>
      </c>
      <c r="O482" s="54">
        <v>6.4</v>
      </c>
      <c r="P482" s="54" t="s">
        <v>1203</v>
      </c>
      <c r="Q482" s="54" t="s">
        <v>1203</v>
      </c>
      <c r="R482" s="52">
        <v>801</v>
      </c>
      <c r="S482" s="55">
        <v>-62.788794372006002</v>
      </c>
      <c r="T482" s="55">
        <v>64.054526701506504</v>
      </c>
      <c r="U482" s="54">
        <v>-21.244524677897399</v>
      </c>
      <c r="V482" s="54">
        <v>-65.337219855067502</v>
      </c>
      <c r="W482" s="54">
        <v>53.808951974515402</v>
      </c>
      <c r="X482" s="52" t="s">
        <v>1202</v>
      </c>
      <c r="Y482" s="56"/>
      <c r="Z482" s="56"/>
      <c r="AA482" s="52" t="b">
        <v>1</v>
      </c>
      <c r="AB482" s="52" t="s">
        <v>31</v>
      </c>
      <c r="AC482" s="49" t="s">
        <v>618</v>
      </c>
      <c r="AD482" s="59">
        <v>1177</v>
      </c>
      <c r="AE482" s="52" t="s">
        <v>147</v>
      </c>
      <c r="AF482" s="56" t="s">
        <v>620</v>
      </c>
      <c r="AG482" s="49"/>
      <c r="AH482" s="56" t="s">
        <v>619</v>
      </c>
      <c r="AI482" s="3"/>
      <c r="AJ482" s="32"/>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row>
    <row r="483" spans="1:172" s="80" customFormat="1" ht="15" customHeight="1" x14ac:dyDescent="0.2">
      <c r="A483" s="10" t="s">
        <v>629</v>
      </c>
      <c r="B483" s="9">
        <v>167</v>
      </c>
      <c r="C483" s="9">
        <v>177</v>
      </c>
      <c r="D483" s="13">
        <v>172</v>
      </c>
      <c r="E483" s="9">
        <v>-34.5</v>
      </c>
      <c r="F483" s="9">
        <v>150.30000000000001</v>
      </c>
      <c r="G483" s="34">
        <v>7</v>
      </c>
      <c r="H483" s="9">
        <v>354</v>
      </c>
      <c r="I483" s="9">
        <v>-81</v>
      </c>
      <c r="J483" s="9">
        <v>33</v>
      </c>
      <c r="K483" s="9">
        <v>11</v>
      </c>
      <c r="L483" s="13">
        <v>-52</v>
      </c>
      <c r="M483" s="13">
        <v>153</v>
      </c>
      <c r="N483" s="9"/>
      <c r="O483" s="9"/>
      <c r="P483" s="9">
        <v>9.1807463220636656</v>
      </c>
      <c r="Q483" s="9">
        <v>21.042059573543995</v>
      </c>
      <c r="R483" s="30">
        <v>801</v>
      </c>
      <c r="S483" s="13">
        <v>-46.328926302952802</v>
      </c>
      <c r="T483" s="13">
        <v>66.227729021673198</v>
      </c>
      <c r="U483" s="9">
        <v>-21.480352809159001</v>
      </c>
      <c r="V483" s="9">
        <v>-65.293453799459996</v>
      </c>
      <c r="W483" s="9">
        <v>54.331154067417302</v>
      </c>
      <c r="X483" s="7" t="s">
        <v>1202</v>
      </c>
      <c r="Y483" s="7"/>
      <c r="Z483" s="7"/>
      <c r="AA483" s="7" t="b">
        <v>1</v>
      </c>
      <c r="AB483" s="7">
        <v>0</v>
      </c>
      <c r="AC483" s="14" t="s">
        <v>630</v>
      </c>
      <c r="AD483" s="7"/>
      <c r="AE483" s="7" t="s">
        <v>1369</v>
      </c>
      <c r="AF483" s="10" t="s">
        <v>631</v>
      </c>
      <c r="AG483" s="14" t="s">
        <v>1231</v>
      </c>
      <c r="AH483" s="10"/>
      <c r="AI483" s="3"/>
      <c r="AJ483" s="32"/>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row>
    <row r="484" spans="1:172" s="80" customFormat="1" ht="15" customHeight="1" x14ac:dyDescent="0.2">
      <c r="A484" s="10" t="s">
        <v>1432</v>
      </c>
      <c r="B484" s="9">
        <v>177</v>
      </c>
      <c r="C484" s="9">
        <v>183</v>
      </c>
      <c r="D484" s="13">
        <v>180</v>
      </c>
      <c r="E484" s="9">
        <v>-31</v>
      </c>
      <c r="F484" s="9">
        <v>150</v>
      </c>
      <c r="G484" s="6">
        <v>14</v>
      </c>
      <c r="H484" s="9">
        <v>315.89999999999998</v>
      </c>
      <c r="I484" s="9">
        <v>-76.7</v>
      </c>
      <c r="J484" s="9">
        <v>44.9</v>
      </c>
      <c r="K484" s="9">
        <v>6</v>
      </c>
      <c r="L484" s="13">
        <v>-46.1</v>
      </c>
      <c r="M484" s="13">
        <v>175.2</v>
      </c>
      <c r="N484" s="9">
        <v>16.8</v>
      </c>
      <c r="O484" s="9">
        <v>10</v>
      </c>
      <c r="P484" s="9" t="s">
        <v>1203</v>
      </c>
      <c r="Q484" s="9" t="s">
        <v>1203</v>
      </c>
      <c r="R484" s="7">
        <v>801</v>
      </c>
      <c r="S484" s="13">
        <v>-59.682937574344599</v>
      </c>
      <c r="T484" s="13">
        <v>77.228761498959301</v>
      </c>
      <c r="U484" s="9">
        <v>-21.882481143250399</v>
      </c>
      <c r="V484" s="9">
        <v>-65.182506391595197</v>
      </c>
      <c r="W484" s="9">
        <v>55.0802905798095</v>
      </c>
      <c r="X484" s="7" t="s">
        <v>1202</v>
      </c>
      <c r="Y484" s="10"/>
      <c r="Z484" s="10"/>
      <c r="AA484" s="7" t="b">
        <v>1</v>
      </c>
      <c r="AB484" s="7">
        <v>0</v>
      </c>
      <c r="AC484" s="14" t="s">
        <v>640</v>
      </c>
      <c r="AD484" s="30">
        <v>780</v>
      </c>
      <c r="AE484" s="7" t="s">
        <v>147</v>
      </c>
      <c r="AF484" s="10" t="s">
        <v>641</v>
      </c>
      <c r="AG484" s="14"/>
      <c r="AH484" s="10"/>
      <c r="AI484" s="3"/>
      <c r="AJ484" s="32"/>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row>
    <row r="485" spans="1:172" s="80" customFormat="1" ht="15" customHeight="1" x14ac:dyDescent="0.2">
      <c r="A485" s="10" t="s">
        <v>672</v>
      </c>
      <c r="B485" s="9">
        <v>179</v>
      </c>
      <c r="C485" s="9">
        <v>187</v>
      </c>
      <c r="D485" s="13">
        <v>183</v>
      </c>
      <c r="E485" s="9">
        <v>-42</v>
      </c>
      <c r="F485" s="9">
        <v>147.5</v>
      </c>
      <c r="G485" s="6">
        <v>21</v>
      </c>
      <c r="H485" s="9">
        <v>303.60000000000002</v>
      </c>
      <c r="I485" s="9">
        <v>-79.2</v>
      </c>
      <c r="J485" s="9">
        <v>121.1</v>
      </c>
      <c r="K485" s="9">
        <v>2.9</v>
      </c>
      <c r="L485" s="13">
        <v>-50.7</v>
      </c>
      <c r="M485" s="13">
        <v>174.5</v>
      </c>
      <c r="N485" s="9">
        <v>38.299999999999997</v>
      </c>
      <c r="O485" s="9">
        <v>5.2</v>
      </c>
      <c r="P485" s="9" t="s">
        <v>1203</v>
      </c>
      <c r="Q485" s="9" t="s">
        <v>1203</v>
      </c>
      <c r="R485" s="7">
        <v>801</v>
      </c>
      <c r="S485" s="13">
        <v>-58.983361149598203</v>
      </c>
      <c r="T485" s="13">
        <v>68.190561840037304</v>
      </c>
      <c r="U485" s="9">
        <v>-21.957728476809798</v>
      </c>
      <c r="V485" s="9">
        <v>-65.144472167838501</v>
      </c>
      <c r="W485" s="9">
        <v>55.1439242365323</v>
      </c>
      <c r="X485" s="7" t="s">
        <v>1202</v>
      </c>
      <c r="Y485" s="10"/>
      <c r="Z485" s="10"/>
      <c r="AA485" s="7" t="b">
        <v>1</v>
      </c>
      <c r="AB485" s="7">
        <v>0</v>
      </c>
      <c r="AC485" s="14" t="s">
        <v>673</v>
      </c>
      <c r="AD485" s="30">
        <v>1113</v>
      </c>
      <c r="AE485" s="7" t="s">
        <v>147</v>
      </c>
      <c r="AF485" s="10" t="s">
        <v>663</v>
      </c>
      <c r="AG485" s="14" t="s">
        <v>674</v>
      </c>
      <c r="AH485" s="10"/>
      <c r="AI485" s="3"/>
      <c r="AJ485" s="32"/>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row>
    <row r="486" spans="1:172" s="69" customFormat="1" ht="15" customHeight="1" x14ac:dyDescent="0.2">
      <c r="A486" s="10" t="s">
        <v>810</v>
      </c>
      <c r="B486" s="9">
        <v>237</v>
      </c>
      <c r="C486" s="9">
        <v>247.1</v>
      </c>
      <c r="D486" s="13">
        <f>AVERAGE(B486:C486)</f>
        <v>242.05</v>
      </c>
      <c r="E486" s="28">
        <v>-27.47</v>
      </c>
      <c r="F486" s="9">
        <v>153.03</v>
      </c>
      <c r="G486" s="34">
        <v>6</v>
      </c>
      <c r="H486" s="9">
        <v>11</v>
      </c>
      <c r="I486" s="9">
        <v>-74</v>
      </c>
      <c r="J486" s="9">
        <v>92.6</v>
      </c>
      <c r="K486" s="9">
        <v>7</v>
      </c>
      <c r="L486" s="13">
        <v>-56.453499542471597</v>
      </c>
      <c r="M486" s="13">
        <v>153.13898599219601</v>
      </c>
      <c r="N486" s="9"/>
      <c r="O486" s="9"/>
      <c r="P486" s="9">
        <v>31.666128859998345</v>
      </c>
      <c r="Q486" s="9">
        <v>12.089344797013862</v>
      </c>
      <c r="R486" s="7">
        <v>801</v>
      </c>
      <c r="S486" s="13">
        <v>-46.250062241151497</v>
      </c>
      <c r="T486" s="13">
        <v>59.086420647227797</v>
      </c>
      <c r="U486" s="9">
        <v>-21.957728476809798</v>
      </c>
      <c r="V486" s="9">
        <v>-65.144472167838501</v>
      </c>
      <c r="W486" s="9">
        <v>55.1439242365323</v>
      </c>
      <c r="X486" s="7" t="s">
        <v>1202</v>
      </c>
      <c r="Y486" s="7"/>
      <c r="Z486" s="7"/>
      <c r="AA486" s="7" t="b">
        <v>1</v>
      </c>
      <c r="AB486" s="7">
        <v>0</v>
      </c>
      <c r="AC486" s="14" t="s">
        <v>460</v>
      </c>
      <c r="AD486" s="7"/>
      <c r="AE486" s="7" t="s">
        <v>1369</v>
      </c>
      <c r="AF486" s="10" t="s">
        <v>811</v>
      </c>
      <c r="AG486" s="14"/>
      <c r="AH486" s="10"/>
      <c r="AI486" s="12"/>
      <c r="AJ486" s="3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c r="DK486" s="12"/>
      <c r="DL486" s="12"/>
      <c r="DM486" s="12"/>
      <c r="DN486" s="12"/>
      <c r="DO486" s="12"/>
      <c r="DP486" s="12"/>
      <c r="DQ486" s="12"/>
      <c r="DR486" s="12"/>
      <c r="DS486" s="12"/>
      <c r="DT486" s="12"/>
      <c r="DU486" s="12"/>
      <c r="DV486" s="12"/>
      <c r="DW486" s="12"/>
      <c r="DX486" s="12"/>
      <c r="DY486" s="12"/>
      <c r="DZ486" s="12"/>
      <c r="EA486" s="12"/>
      <c r="EB486" s="12"/>
      <c r="EC486" s="12"/>
      <c r="ED486" s="12"/>
      <c r="EE486" s="12"/>
      <c r="EF486" s="12"/>
      <c r="EG486" s="12"/>
      <c r="EH486" s="12"/>
      <c r="EI486" s="12"/>
      <c r="EJ486" s="12"/>
      <c r="EK486" s="12"/>
      <c r="EL486" s="12"/>
      <c r="EM486" s="12"/>
      <c r="EN486" s="12"/>
      <c r="EO486" s="12"/>
      <c r="EP486" s="12"/>
      <c r="EQ486" s="12"/>
      <c r="ER486" s="12"/>
      <c r="ES486" s="12"/>
      <c r="ET486" s="12"/>
      <c r="EU486" s="12"/>
      <c r="EV486" s="12"/>
      <c r="EW486" s="12"/>
      <c r="EX486" s="12"/>
      <c r="EY486" s="12"/>
      <c r="EZ486" s="12"/>
      <c r="FA486" s="12"/>
      <c r="FB486" s="12"/>
      <c r="FC486" s="12"/>
      <c r="FD486" s="12"/>
      <c r="FE486" s="12"/>
      <c r="FF486" s="12"/>
      <c r="FG486" s="12"/>
      <c r="FH486" s="12"/>
      <c r="FI486" s="12"/>
      <c r="FJ486" s="12"/>
      <c r="FK486" s="12"/>
      <c r="FL486" s="12"/>
      <c r="FM486" s="12"/>
      <c r="FN486" s="12"/>
      <c r="FO486" s="12"/>
      <c r="FP486" s="12"/>
    </row>
    <row r="487" spans="1:172" s="69" customFormat="1" ht="15" customHeight="1" x14ac:dyDescent="0.2">
      <c r="A487" s="10" t="s">
        <v>918</v>
      </c>
      <c r="B487" s="9">
        <v>263.51</v>
      </c>
      <c r="C487" s="9">
        <v>265.05</v>
      </c>
      <c r="D487" s="13">
        <f>AVERAGE(B487:C487)</f>
        <v>264.27999999999997</v>
      </c>
      <c r="E487" s="9">
        <v>-34.6</v>
      </c>
      <c r="F487" s="9">
        <v>150.80000000000001</v>
      </c>
      <c r="G487" s="34">
        <v>17</v>
      </c>
      <c r="H487" s="9">
        <v>353.3</v>
      </c>
      <c r="I487" s="9">
        <v>-77.8</v>
      </c>
      <c r="J487" s="9">
        <v>48.3</v>
      </c>
      <c r="K487" s="9">
        <v>5.2</v>
      </c>
      <c r="L487" s="13">
        <v>-56.9</v>
      </c>
      <c r="M487" s="13">
        <v>154.80000000000001</v>
      </c>
      <c r="N487" s="9">
        <v>16.3</v>
      </c>
      <c r="O487" s="9">
        <v>9.1</v>
      </c>
      <c r="P487" s="9" t="s">
        <v>1203</v>
      </c>
      <c r="Q487" s="9" t="s">
        <v>1203</v>
      </c>
      <c r="R487" s="7">
        <v>801</v>
      </c>
      <c r="S487" s="13">
        <v>-47.188161971614797</v>
      </c>
      <c r="T487" s="13">
        <v>58.517882373043903</v>
      </c>
      <c r="U487" s="9">
        <v>-21.957728476809798</v>
      </c>
      <c r="V487" s="9">
        <v>-65.144472167838501</v>
      </c>
      <c r="W487" s="9">
        <v>55.1439242365323</v>
      </c>
      <c r="X487" s="7" t="s">
        <v>1202</v>
      </c>
      <c r="Y487" s="7"/>
      <c r="Z487" s="7"/>
      <c r="AA487" s="7" t="b">
        <v>1</v>
      </c>
      <c r="AB487" s="7">
        <v>0</v>
      </c>
      <c r="AC487" s="14" t="s">
        <v>919</v>
      </c>
      <c r="AD487" s="7"/>
      <c r="AE487" s="7" t="s">
        <v>1369</v>
      </c>
      <c r="AF487" s="10" t="s">
        <v>920</v>
      </c>
      <c r="AG487" s="14"/>
      <c r="AH487" s="10"/>
      <c r="AI487" s="12"/>
      <c r="AJ487" s="3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c r="DK487" s="12"/>
      <c r="DL487" s="12"/>
      <c r="DM487" s="12"/>
      <c r="DN487" s="12"/>
      <c r="DO487" s="12"/>
      <c r="DP487" s="12"/>
      <c r="DQ487" s="12"/>
      <c r="DR487" s="12"/>
      <c r="DS487" s="12"/>
      <c r="DT487" s="12"/>
      <c r="DU487" s="12"/>
      <c r="DV487" s="12"/>
      <c r="DW487" s="12"/>
      <c r="DX487" s="12"/>
      <c r="DY487" s="12"/>
      <c r="DZ487" s="12"/>
      <c r="EA487" s="12"/>
      <c r="EB487" s="12"/>
      <c r="EC487" s="12"/>
      <c r="ED487" s="12"/>
      <c r="EE487" s="12"/>
      <c r="EF487" s="12"/>
      <c r="EG487" s="12"/>
      <c r="EH487" s="12"/>
      <c r="EI487" s="12"/>
      <c r="EJ487" s="12"/>
      <c r="EK487" s="12"/>
      <c r="EL487" s="12"/>
      <c r="EM487" s="12"/>
      <c r="EN487" s="12"/>
      <c r="EO487" s="12"/>
      <c r="EP487" s="12"/>
      <c r="EQ487" s="12"/>
      <c r="ER487" s="12"/>
      <c r="ES487" s="12"/>
      <c r="ET487" s="12"/>
      <c r="EU487" s="12"/>
      <c r="EV487" s="12"/>
      <c r="EW487" s="12"/>
      <c r="EX487" s="12"/>
      <c r="EY487" s="12"/>
      <c r="EZ487" s="12"/>
      <c r="FA487" s="12"/>
      <c r="FB487" s="12"/>
      <c r="FC487" s="12"/>
      <c r="FD487" s="12"/>
      <c r="FE487" s="12"/>
      <c r="FF487" s="12"/>
      <c r="FG487" s="12"/>
      <c r="FH487" s="12"/>
      <c r="FI487" s="12"/>
      <c r="FJ487" s="12"/>
      <c r="FK487" s="12"/>
      <c r="FL487" s="12"/>
      <c r="FM487" s="12"/>
      <c r="FN487" s="12"/>
      <c r="FO487" s="12"/>
      <c r="FP487" s="12"/>
    </row>
    <row r="488" spans="1:172" s="69" customFormat="1" ht="15" customHeight="1" x14ac:dyDescent="0.2">
      <c r="A488" s="10" t="s">
        <v>921</v>
      </c>
      <c r="B488" s="9">
        <v>263.39999999999998</v>
      </c>
      <c r="C488" s="9">
        <v>269.39999999999998</v>
      </c>
      <c r="D488" s="13">
        <v>266.39999999999998</v>
      </c>
      <c r="E488" s="9">
        <v>-31.885066666666699</v>
      </c>
      <c r="F488" s="9">
        <v>150.9686111111111</v>
      </c>
      <c r="G488" s="34">
        <v>9</v>
      </c>
      <c r="H488" s="9">
        <v>19.8</v>
      </c>
      <c r="I488" s="9">
        <v>-72.2</v>
      </c>
      <c r="J488" s="9">
        <v>29.5</v>
      </c>
      <c r="K488" s="9">
        <v>9.6</v>
      </c>
      <c r="L488" s="13">
        <v>-61.2</v>
      </c>
      <c r="M488" s="13">
        <v>128.69999999999999</v>
      </c>
      <c r="N488" s="9"/>
      <c r="O488" s="9"/>
      <c r="P488" s="9">
        <v>10.766180087809591</v>
      </c>
      <c r="Q488" s="9">
        <v>16.438567104090193</v>
      </c>
      <c r="R488" s="7">
        <v>801</v>
      </c>
      <c r="S488" s="13">
        <v>-34.858343714084498</v>
      </c>
      <c r="T488" s="13">
        <v>49.709453025806297</v>
      </c>
      <c r="U488" s="9">
        <v>-21.957728476809798</v>
      </c>
      <c r="V488" s="9">
        <v>-65.144472167838501</v>
      </c>
      <c r="W488" s="9">
        <v>55.1439242365323</v>
      </c>
      <c r="X488" s="7" t="s">
        <v>1202</v>
      </c>
      <c r="Y488" s="7"/>
      <c r="Z488" s="7"/>
      <c r="AA488" s="7" t="b">
        <v>1</v>
      </c>
      <c r="AB488" s="7">
        <v>0</v>
      </c>
      <c r="AC488" s="14" t="s">
        <v>922</v>
      </c>
      <c r="AD488" s="7"/>
      <c r="AE488" s="7" t="s">
        <v>1369</v>
      </c>
      <c r="AF488" s="10" t="s">
        <v>923</v>
      </c>
      <c r="AG488" s="14"/>
      <c r="AH488" s="10"/>
      <c r="AI488" s="12"/>
      <c r="AJ488" s="3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c r="DK488" s="12"/>
      <c r="DL488" s="12"/>
      <c r="DM488" s="12"/>
      <c r="DN488" s="12"/>
      <c r="DO488" s="12"/>
      <c r="DP488" s="12"/>
      <c r="DQ488" s="12"/>
      <c r="DR488" s="12"/>
      <c r="DS488" s="12"/>
      <c r="DT488" s="12"/>
      <c r="DU488" s="12"/>
      <c r="DV488" s="12"/>
      <c r="DW488" s="12"/>
      <c r="DX488" s="12"/>
      <c r="DY488" s="12"/>
      <c r="DZ488" s="12"/>
      <c r="EA488" s="12"/>
      <c r="EB488" s="12"/>
      <c r="EC488" s="12"/>
      <c r="ED488" s="12"/>
      <c r="EE488" s="12"/>
      <c r="EF488" s="12"/>
      <c r="EG488" s="12"/>
      <c r="EH488" s="12"/>
      <c r="EI488" s="12"/>
      <c r="EJ488" s="12"/>
      <c r="EK488" s="12"/>
      <c r="EL488" s="12"/>
      <c r="EM488" s="12"/>
      <c r="EN488" s="12"/>
      <c r="EO488" s="12"/>
      <c r="EP488" s="12"/>
      <c r="EQ488" s="12"/>
      <c r="ER488" s="12"/>
      <c r="ES488" s="12"/>
      <c r="ET488" s="12"/>
      <c r="EU488" s="12"/>
      <c r="EV488" s="12"/>
      <c r="EW488" s="12"/>
      <c r="EX488" s="12"/>
      <c r="EY488" s="12"/>
      <c r="EZ488" s="12"/>
      <c r="FA488" s="12"/>
      <c r="FB488" s="12"/>
      <c r="FC488" s="12"/>
      <c r="FD488" s="12"/>
      <c r="FE488" s="12"/>
      <c r="FF488" s="12"/>
      <c r="FG488" s="12"/>
      <c r="FH488" s="12"/>
      <c r="FI488" s="12"/>
      <c r="FJ488" s="12"/>
      <c r="FK488" s="12"/>
      <c r="FL488" s="12"/>
      <c r="FM488" s="12"/>
      <c r="FN488" s="12"/>
      <c r="FO488" s="12"/>
      <c r="FP488" s="12"/>
    </row>
    <row r="489" spans="1:172" s="69" customFormat="1" ht="15" customHeight="1" x14ac:dyDescent="0.2">
      <c r="A489" s="10" t="s">
        <v>1006</v>
      </c>
      <c r="B489" s="9">
        <v>280</v>
      </c>
      <c r="C489" s="9">
        <v>292</v>
      </c>
      <c r="D489" s="13">
        <v>286</v>
      </c>
      <c r="E489" s="9">
        <v>-20.25</v>
      </c>
      <c r="F489" s="9">
        <v>146.30000000000001</v>
      </c>
      <c r="G489" s="6">
        <v>34</v>
      </c>
      <c r="H489" s="7">
        <v>196.3</v>
      </c>
      <c r="I489" s="7">
        <v>77.400000000000006</v>
      </c>
      <c r="J489" s="7">
        <v>53.5</v>
      </c>
      <c r="K489" s="7">
        <v>3.4</v>
      </c>
      <c r="L489" s="6">
        <v>-43.2</v>
      </c>
      <c r="M489" s="13">
        <v>137.30000000000001</v>
      </c>
      <c r="N489" s="9"/>
      <c r="O489" s="9"/>
      <c r="P489" s="9">
        <v>16.375403827576356</v>
      </c>
      <c r="Q489" s="9">
        <v>6.2729119158347419</v>
      </c>
      <c r="R489" s="7">
        <v>801</v>
      </c>
      <c r="S489" s="13">
        <v>-32.952052839210197</v>
      </c>
      <c r="T489" s="13">
        <v>72.193169900380198</v>
      </c>
      <c r="U489" s="9">
        <v>-21.957728476809798</v>
      </c>
      <c r="V489" s="9">
        <v>-65.144472167838501</v>
      </c>
      <c r="W489" s="9">
        <v>55.1439242365323</v>
      </c>
      <c r="X489" s="7" t="s">
        <v>1202</v>
      </c>
      <c r="Y489" s="7"/>
      <c r="Z489" s="7"/>
      <c r="AA489" s="7" t="b">
        <v>1</v>
      </c>
      <c r="AB489" s="7">
        <v>0</v>
      </c>
      <c r="AC489" s="14" t="s">
        <v>1007</v>
      </c>
      <c r="AD489" s="7"/>
      <c r="AE489" s="7" t="s">
        <v>1369</v>
      </c>
      <c r="AF489" s="10" t="s">
        <v>1008</v>
      </c>
      <c r="AG489" s="14"/>
      <c r="AH489" s="10"/>
      <c r="AI489" s="12"/>
      <c r="AJ489" s="3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c r="DK489" s="12"/>
      <c r="DL489" s="12"/>
      <c r="DM489" s="12"/>
      <c r="DN489" s="12"/>
      <c r="DO489" s="12"/>
      <c r="DP489" s="12"/>
      <c r="DQ489" s="12"/>
      <c r="DR489" s="12"/>
      <c r="DS489" s="12"/>
      <c r="DT489" s="12"/>
      <c r="DU489" s="12"/>
      <c r="DV489" s="12"/>
      <c r="DW489" s="12"/>
      <c r="DX489" s="12"/>
      <c r="DY489" s="12"/>
      <c r="DZ489" s="12"/>
      <c r="EA489" s="12"/>
      <c r="EB489" s="12"/>
      <c r="EC489" s="12"/>
      <c r="ED489" s="12"/>
      <c r="EE489" s="12"/>
      <c r="EF489" s="12"/>
      <c r="EG489" s="12"/>
      <c r="EH489" s="12"/>
      <c r="EI489" s="12"/>
      <c r="EJ489" s="12"/>
      <c r="EK489" s="12"/>
      <c r="EL489" s="12"/>
      <c r="EM489" s="12"/>
      <c r="EN489" s="12"/>
      <c r="EO489" s="12"/>
      <c r="EP489" s="12"/>
      <c r="EQ489" s="12"/>
      <c r="ER489" s="12"/>
      <c r="ES489" s="12"/>
      <c r="ET489" s="12"/>
      <c r="EU489" s="12"/>
      <c r="EV489" s="12"/>
      <c r="EW489" s="12"/>
      <c r="EX489" s="12"/>
      <c r="EY489" s="12"/>
      <c r="EZ489" s="12"/>
      <c r="FA489" s="12"/>
      <c r="FB489" s="12"/>
      <c r="FC489" s="12"/>
      <c r="FD489" s="12"/>
      <c r="FE489" s="12"/>
      <c r="FF489" s="12"/>
      <c r="FG489" s="12"/>
      <c r="FH489" s="12"/>
      <c r="FI489" s="12"/>
      <c r="FJ489" s="12"/>
      <c r="FK489" s="12"/>
      <c r="FL489" s="12"/>
      <c r="FM489" s="12"/>
      <c r="FN489" s="12"/>
      <c r="FO489" s="12"/>
      <c r="FP489" s="12"/>
    </row>
    <row r="490" spans="1:172" s="69" customFormat="1" ht="15" customHeight="1" x14ac:dyDescent="0.2">
      <c r="A490" s="10" t="s">
        <v>1009</v>
      </c>
      <c r="B490" s="9">
        <v>280</v>
      </c>
      <c r="C490" s="9">
        <v>292</v>
      </c>
      <c r="D490" s="13">
        <v>286</v>
      </c>
      <c r="E490" s="9">
        <v>-20.100000000000001</v>
      </c>
      <c r="F490" s="9">
        <v>146.5</v>
      </c>
      <c r="G490" s="6">
        <v>42</v>
      </c>
      <c r="H490" s="7">
        <v>188.7</v>
      </c>
      <c r="I490" s="7">
        <v>75.2</v>
      </c>
      <c r="J490" s="9">
        <v>35</v>
      </c>
      <c r="K490" s="7">
        <v>3.8</v>
      </c>
      <c r="L490" s="6">
        <v>-47.5</v>
      </c>
      <c r="M490" s="13">
        <v>143</v>
      </c>
      <c r="N490" s="9"/>
      <c r="O490" s="9"/>
      <c r="P490" s="9">
        <v>11.486973126266845</v>
      </c>
      <c r="Q490" s="9">
        <v>6.8027339841029191</v>
      </c>
      <c r="R490" s="7">
        <v>801</v>
      </c>
      <c r="S490" s="13">
        <v>-38.283060960817501</v>
      </c>
      <c r="T490" s="13">
        <v>69.157180174649497</v>
      </c>
      <c r="U490" s="9">
        <v>-21.957728476809798</v>
      </c>
      <c r="V490" s="9">
        <v>-65.144472167838501</v>
      </c>
      <c r="W490" s="9">
        <v>55.1439242365323</v>
      </c>
      <c r="X490" s="7" t="s">
        <v>1202</v>
      </c>
      <c r="Y490" s="7"/>
      <c r="Z490" s="7"/>
      <c r="AA490" s="7" t="b">
        <v>1</v>
      </c>
      <c r="AB490" s="7">
        <v>0</v>
      </c>
      <c r="AC490" s="10" t="s">
        <v>1007</v>
      </c>
      <c r="AD490" s="7"/>
      <c r="AE490" s="7" t="s">
        <v>1369</v>
      </c>
      <c r="AF490" s="10" t="s">
        <v>1008</v>
      </c>
      <c r="AG490" s="14"/>
      <c r="AH490" s="10"/>
      <c r="AI490" s="12"/>
      <c r="AJ490" s="3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c r="DK490" s="12"/>
      <c r="DL490" s="12"/>
      <c r="DM490" s="12"/>
      <c r="DN490" s="12"/>
      <c r="DO490" s="12"/>
      <c r="DP490" s="12"/>
      <c r="DQ490" s="12"/>
      <c r="DR490" s="12"/>
      <c r="DS490" s="12"/>
      <c r="DT490" s="12"/>
      <c r="DU490" s="12"/>
      <c r="DV490" s="12"/>
      <c r="DW490" s="12"/>
      <c r="DX490" s="12"/>
      <c r="DY490" s="12"/>
      <c r="DZ490" s="12"/>
      <c r="EA490" s="12"/>
      <c r="EB490" s="12"/>
      <c r="EC490" s="12"/>
      <c r="ED490" s="12"/>
      <c r="EE490" s="12"/>
      <c r="EF490" s="12"/>
      <c r="EG490" s="12"/>
      <c r="EH490" s="12"/>
      <c r="EI490" s="12"/>
      <c r="EJ490" s="12"/>
      <c r="EK490" s="12"/>
      <c r="EL490" s="12"/>
      <c r="EM490" s="12"/>
      <c r="EN490" s="12"/>
      <c r="EO490" s="12"/>
      <c r="EP490" s="12"/>
      <c r="EQ490" s="12"/>
      <c r="ER490" s="12"/>
      <c r="ES490" s="12"/>
      <c r="ET490" s="12"/>
      <c r="EU490" s="12"/>
      <c r="EV490" s="12"/>
      <c r="EW490" s="12"/>
      <c r="EX490" s="12"/>
      <c r="EY490" s="12"/>
      <c r="EZ490" s="12"/>
      <c r="FA490" s="12"/>
      <c r="FB490" s="12"/>
      <c r="FC490" s="12"/>
      <c r="FD490" s="12"/>
      <c r="FE490" s="12"/>
      <c r="FF490" s="12"/>
      <c r="FG490" s="12"/>
      <c r="FH490" s="12"/>
      <c r="FI490" s="12"/>
      <c r="FJ490" s="12"/>
      <c r="FK490" s="12"/>
      <c r="FL490" s="12"/>
      <c r="FM490" s="12"/>
      <c r="FN490" s="12"/>
      <c r="FO490" s="12"/>
      <c r="FP490" s="12"/>
    </row>
    <row r="491" spans="1:172" s="69" customFormat="1" ht="15" customHeight="1" x14ac:dyDescent="0.2">
      <c r="A491" s="10" t="s">
        <v>1435</v>
      </c>
      <c r="B491" s="7">
        <v>315.60000000000002</v>
      </c>
      <c r="C491" s="7">
        <v>328.2</v>
      </c>
      <c r="D491" s="13">
        <v>321.89999999999998</v>
      </c>
      <c r="E491" s="9">
        <v>-18.39</v>
      </c>
      <c r="F491" s="9">
        <v>143.75</v>
      </c>
      <c r="G491" s="6">
        <v>15</v>
      </c>
      <c r="H491" s="9">
        <v>191.4</v>
      </c>
      <c r="I491" s="9">
        <v>61.6</v>
      </c>
      <c r="J491" s="9">
        <v>56.5</v>
      </c>
      <c r="K491" s="9">
        <v>5.0999999999999996</v>
      </c>
      <c r="L491" s="13">
        <v>-63.4</v>
      </c>
      <c r="M491" s="13">
        <v>125</v>
      </c>
      <c r="N491" s="7">
        <v>26.2</v>
      </c>
      <c r="O491" s="7">
        <v>7.6</v>
      </c>
      <c r="P491" s="46" t="s">
        <v>1203</v>
      </c>
      <c r="Q491" s="46" t="s">
        <v>1203</v>
      </c>
      <c r="R491" s="7">
        <v>801</v>
      </c>
      <c r="S491" s="13">
        <v>-33.929157447522698</v>
      </c>
      <c r="T491" s="13">
        <v>45.944830958103097</v>
      </c>
      <c r="U491" s="9">
        <v>-21.957728476809798</v>
      </c>
      <c r="V491" s="9">
        <v>-65.144472167838501</v>
      </c>
      <c r="W491" s="9">
        <v>55.1439242365323</v>
      </c>
      <c r="X491" s="7" t="s">
        <v>1202</v>
      </c>
      <c r="Y491" s="10"/>
      <c r="Z491" s="10"/>
      <c r="AA491" s="7" t="b">
        <v>1</v>
      </c>
      <c r="AB491" s="7">
        <v>0</v>
      </c>
      <c r="AC491" s="14" t="s">
        <v>1199</v>
      </c>
      <c r="AD491" s="30">
        <v>3561</v>
      </c>
      <c r="AE491" s="7" t="s">
        <v>147</v>
      </c>
      <c r="AF491" s="10" t="s">
        <v>1200</v>
      </c>
      <c r="AG491" s="14"/>
      <c r="AH491" s="10"/>
      <c r="AI491" s="12"/>
      <c r="AJ491" s="3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c r="DK491" s="12"/>
      <c r="DL491" s="12"/>
      <c r="DM491" s="12"/>
      <c r="DN491" s="12"/>
      <c r="DO491" s="12"/>
      <c r="DP491" s="12"/>
      <c r="DQ491" s="12"/>
      <c r="DR491" s="12"/>
      <c r="DS491" s="12"/>
      <c r="DT491" s="12"/>
      <c r="DU491" s="12"/>
      <c r="DV491" s="12"/>
      <c r="DW491" s="12"/>
      <c r="DX491" s="12"/>
      <c r="DY491" s="12"/>
      <c r="DZ491" s="12"/>
      <c r="EA491" s="12"/>
      <c r="EB491" s="12"/>
      <c r="EC491" s="12"/>
      <c r="ED491" s="12"/>
      <c r="EE491" s="12"/>
      <c r="EF491" s="12"/>
      <c r="EG491" s="12"/>
      <c r="EH491" s="12"/>
      <c r="EI491" s="12"/>
      <c r="EJ491" s="12"/>
      <c r="EK491" s="12"/>
      <c r="EL491" s="12"/>
      <c r="EM491" s="12"/>
      <c r="EN491" s="12"/>
      <c r="EO491" s="12"/>
      <c r="EP491" s="12"/>
      <c r="EQ491" s="12"/>
      <c r="ER491" s="12"/>
      <c r="ES491" s="12"/>
      <c r="ET491" s="12"/>
      <c r="EU491" s="12"/>
      <c r="EV491" s="12"/>
      <c r="EW491" s="12"/>
      <c r="EX491" s="12"/>
      <c r="EY491" s="12"/>
      <c r="EZ491" s="12"/>
      <c r="FA491" s="12"/>
      <c r="FB491" s="12"/>
      <c r="FC491" s="12"/>
      <c r="FD491" s="12"/>
      <c r="FE491" s="12"/>
      <c r="FF491" s="12"/>
      <c r="FG491" s="12"/>
      <c r="FH491" s="12"/>
      <c r="FI491" s="12"/>
      <c r="FJ491" s="12"/>
      <c r="FK491" s="12"/>
      <c r="FL491" s="12"/>
      <c r="FM491" s="12"/>
      <c r="FN491" s="12"/>
      <c r="FO491" s="12"/>
      <c r="FP491" s="12"/>
    </row>
    <row r="492" spans="1:172" s="69" customFormat="1" ht="15" customHeight="1" x14ac:dyDescent="0.2">
      <c r="A492" s="10" t="s">
        <v>47</v>
      </c>
      <c r="B492" s="28">
        <v>0</v>
      </c>
      <c r="C492" s="28">
        <v>0.1</v>
      </c>
      <c r="D492" s="29">
        <f>AVERAGE(B492,C492)</f>
        <v>0.05</v>
      </c>
      <c r="E492" s="7">
        <v>-62.95</v>
      </c>
      <c r="F492" s="7">
        <v>299.33</v>
      </c>
      <c r="G492" s="34">
        <v>17</v>
      </c>
      <c r="H492" s="10"/>
      <c r="I492" s="10"/>
      <c r="J492" s="10"/>
      <c r="K492" s="10"/>
      <c r="L492" s="13">
        <v>-80.688444702588697</v>
      </c>
      <c r="M492" s="13">
        <v>29.269858056325006</v>
      </c>
      <c r="N492" s="9">
        <v>36.516746822170198</v>
      </c>
      <c r="O492" s="9">
        <v>5.9831757983567897</v>
      </c>
      <c r="P492" s="9"/>
      <c r="Q492" s="9"/>
      <c r="R492" s="7">
        <v>802</v>
      </c>
      <c r="S492" s="13">
        <v>-80.682097513399796</v>
      </c>
      <c r="T492" s="13">
        <v>29.289318372011099</v>
      </c>
      <c r="U492" s="9">
        <v>-5.0599999999999898</v>
      </c>
      <c r="V492" s="9">
        <v>-33.28</v>
      </c>
      <c r="W492" s="9">
        <v>7.1798188874514796E-3</v>
      </c>
      <c r="X492" s="7" t="s">
        <v>1202</v>
      </c>
      <c r="Y492" s="10"/>
      <c r="Z492" s="7"/>
      <c r="AA492" s="10" t="b">
        <v>1</v>
      </c>
      <c r="AB492" s="7">
        <v>0</v>
      </c>
      <c r="AC492" s="10" t="s">
        <v>48</v>
      </c>
      <c r="AD492" s="7"/>
      <c r="AE492" s="7" t="s">
        <v>32</v>
      </c>
      <c r="AF492" s="10"/>
      <c r="AG492" s="14"/>
      <c r="AH492" s="10"/>
      <c r="AI492" s="12"/>
      <c r="AJ492" s="3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c r="DK492" s="12"/>
      <c r="DL492" s="12"/>
      <c r="DM492" s="12"/>
      <c r="DN492" s="12"/>
      <c r="DO492" s="12"/>
      <c r="DP492" s="12"/>
      <c r="DQ492" s="12"/>
      <c r="DR492" s="12"/>
      <c r="DS492" s="12"/>
      <c r="DT492" s="12"/>
      <c r="DU492" s="12"/>
      <c r="DV492" s="12"/>
      <c r="DW492" s="12"/>
      <c r="DX492" s="12"/>
      <c r="DY492" s="12"/>
      <c r="DZ492" s="12"/>
      <c r="EA492" s="12"/>
      <c r="EB492" s="12"/>
      <c r="EC492" s="12"/>
      <c r="ED492" s="12"/>
      <c r="EE492" s="12"/>
      <c r="EF492" s="12"/>
      <c r="EG492" s="12"/>
      <c r="EH492" s="12"/>
      <c r="EI492" s="12"/>
      <c r="EJ492" s="12"/>
      <c r="EK492" s="12"/>
      <c r="EL492" s="12"/>
      <c r="EM492" s="12"/>
      <c r="EN492" s="12"/>
      <c r="EO492" s="12"/>
      <c r="EP492" s="12"/>
      <c r="EQ492" s="12"/>
      <c r="ER492" s="12"/>
      <c r="ES492" s="12"/>
      <c r="ET492" s="12"/>
      <c r="EU492" s="12"/>
      <c r="EV492" s="12"/>
      <c r="EW492" s="12"/>
      <c r="EX492" s="12"/>
      <c r="EY492" s="12"/>
      <c r="EZ492" s="12"/>
      <c r="FA492" s="12"/>
      <c r="FB492" s="12"/>
      <c r="FC492" s="12"/>
      <c r="FD492" s="12"/>
      <c r="FE492" s="12"/>
      <c r="FF492" s="12"/>
      <c r="FG492" s="12"/>
      <c r="FH492" s="12"/>
      <c r="FI492" s="12"/>
      <c r="FJ492" s="12"/>
      <c r="FK492" s="12"/>
      <c r="FL492" s="12"/>
      <c r="FM492" s="12"/>
      <c r="FN492" s="12"/>
      <c r="FO492" s="12"/>
      <c r="FP492" s="12"/>
    </row>
    <row r="493" spans="1:172" s="69" customFormat="1" ht="14" customHeight="1" x14ac:dyDescent="0.2">
      <c r="A493" s="14" t="s">
        <v>51</v>
      </c>
      <c r="B493" s="28">
        <v>0</v>
      </c>
      <c r="C493" s="28">
        <v>0.15</v>
      </c>
      <c r="D493" s="29">
        <f>AVERAGE(B493,C493)</f>
        <v>7.4999999999999997E-2</v>
      </c>
      <c r="E493" s="7">
        <v>-62.97</v>
      </c>
      <c r="F493" s="7">
        <v>299.33999999999997</v>
      </c>
      <c r="G493" s="34">
        <v>18</v>
      </c>
      <c r="H493" s="9"/>
      <c r="I493" s="9"/>
      <c r="J493" s="9"/>
      <c r="K493" s="9"/>
      <c r="L493" s="13">
        <v>-78.818934089229899</v>
      </c>
      <c r="M493" s="13">
        <v>6.7684733413049969</v>
      </c>
      <c r="N493" s="9">
        <v>9.7742394048917092</v>
      </c>
      <c r="O493" s="9">
        <v>11.6530615143601</v>
      </c>
      <c r="P493" s="9"/>
      <c r="Q493" s="9"/>
      <c r="R493" s="7">
        <v>802</v>
      </c>
      <c r="S493" s="13">
        <v>-78.812028562100593</v>
      </c>
      <c r="T493" s="13">
        <v>6.8090441434658198</v>
      </c>
      <c r="U493" s="9">
        <v>-5.0599999999999996</v>
      </c>
      <c r="V493" s="9">
        <v>-33.28</v>
      </c>
      <c r="W493" s="9">
        <v>1.0769728331177199E-2</v>
      </c>
      <c r="X493" s="7" t="s">
        <v>1202</v>
      </c>
      <c r="Y493" s="10"/>
      <c r="Z493" s="7"/>
      <c r="AA493" s="7" t="b">
        <v>1</v>
      </c>
      <c r="AB493" s="7">
        <v>0</v>
      </c>
      <c r="AC493" s="10" t="s">
        <v>52</v>
      </c>
      <c r="AD493" s="7"/>
      <c r="AE493" s="7" t="s">
        <v>32</v>
      </c>
      <c r="AF493" s="10"/>
      <c r="AG493" s="45"/>
      <c r="AH493" s="10"/>
      <c r="AI493" s="12"/>
      <c r="AJ493" s="3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c r="DK493" s="12"/>
      <c r="DL493" s="12"/>
      <c r="DM493" s="12"/>
      <c r="DN493" s="12"/>
      <c r="DO493" s="12"/>
      <c r="DP493" s="12"/>
      <c r="DQ493" s="12"/>
      <c r="DR493" s="12"/>
      <c r="DS493" s="12"/>
      <c r="DT493" s="12"/>
      <c r="DU493" s="12"/>
      <c r="DV493" s="12"/>
      <c r="DW493" s="12"/>
      <c r="DX493" s="12"/>
      <c r="DY493" s="12"/>
      <c r="DZ493" s="12"/>
      <c r="EA493" s="12"/>
      <c r="EB493" s="12"/>
      <c r="EC493" s="12"/>
      <c r="ED493" s="12"/>
      <c r="EE493" s="12"/>
      <c r="EF493" s="12"/>
      <c r="EG493" s="12"/>
      <c r="EH493" s="12"/>
      <c r="EI493" s="12"/>
      <c r="EJ493" s="12"/>
      <c r="EK493" s="12"/>
      <c r="EL493" s="12"/>
      <c r="EM493" s="12"/>
      <c r="EN493" s="12"/>
      <c r="EO493" s="12"/>
      <c r="EP493" s="12"/>
      <c r="EQ493" s="12"/>
      <c r="ER493" s="12"/>
      <c r="ES493" s="12"/>
      <c r="ET493" s="12"/>
      <c r="EU493" s="12"/>
      <c r="EV493" s="12"/>
      <c r="EW493" s="12"/>
      <c r="EX493" s="12"/>
      <c r="EY493" s="12"/>
      <c r="EZ493" s="12"/>
      <c r="FA493" s="12"/>
      <c r="FB493" s="12"/>
      <c r="FC493" s="12"/>
      <c r="FD493" s="12"/>
      <c r="FE493" s="12"/>
      <c r="FF493" s="12"/>
      <c r="FG493" s="12"/>
      <c r="FH493" s="12"/>
      <c r="FI493" s="12"/>
      <c r="FJ493" s="12"/>
      <c r="FK493" s="12"/>
      <c r="FL493" s="12"/>
      <c r="FM493" s="12"/>
      <c r="FN493" s="12"/>
      <c r="FO493" s="12"/>
      <c r="FP493" s="12"/>
    </row>
    <row r="494" spans="1:172" s="69" customFormat="1" ht="14" customHeight="1" x14ac:dyDescent="0.2">
      <c r="A494" s="10" t="s">
        <v>105</v>
      </c>
      <c r="B494" s="28">
        <v>0.64</v>
      </c>
      <c r="C494" s="28">
        <v>3</v>
      </c>
      <c r="D494" s="29">
        <f>AVERAGE(B494,C494)</f>
        <v>1.82</v>
      </c>
      <c r="E494" s="7">
        <v>-46.41</v>
      </c>
      <c r="F494" s="7">
        <v>51.79</v>
      </c>
      <c r="G494" s="34">
        <v>37</v>
      </c>
      <c r="H494" s="9"/>
      <c r="I494" s="9"/>
      <c r="J494" s="9"/>
      <c r="K494" s="9"/>
      <c r="L494" s="13">
        <v>-87.730700820419997</v>
      </c>
      <c r="M494" s="13">
        <v>68.296949865328003</v>
      </c>
      <c r="N494" s="9">
        <v>14.5863894098262</v>
      </c>
      <c r="O494" s="9">
        <v>6.38450152199729</v>
      </c>
      <c r="P494" s="9"/>
      <c r="Q494" s="9"/>
      <c r="R494" s="7">
        <v>802</v>
      </c>
      <c r="S494" s="13">
        <v>-87.473117082092003</v>
      </c>
      <c r="T494" s="13">
        <v>67.287192325610903</v>
      </c>
      <c r="U494" s="9">
        <v>-8.2686721436117505</v>
      </c>
      <c r="V494" s="9">
        <v>-31.187150993568402</v>
      </c>
      <c r="W494" s="9">
        <v>0.26350950006259699</v>
      </c>
      <c r="X494" s="7" t="s">
        <v>1202</v>
      </c>
      <c r="Y494" s="7"/>
      <c r="Z494" s="7"/>
      <c r="AA494" s="7" t="b">
        <v>1</v>
      </c>
      <c r="AB494" s="7">
        <v>0</v>
      </c>
      <c r="AC494" s="10" t="s">
        <v>106</v>
      </c>
      <c r="AD494" s="7"/>
      <c r="AE494" s="7" t="s">
        <v>32</v>
      </c>
      <c r="AF494" s="10"/>
      <c r="AG494" s="14"/>
      <c r="AH494" s="10"/>
      <c r="AI494" s="12"/>
      <c r="AJ494" s="3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c r="DK494" s="12"/>
      <c r="DL494" s="12"/>
      <c r="DM494" s="12"/>
      <c r="DN494" s="12"/>
      <c r="DO494" s="12"/>
      <c r="DP494" s="12"/>
      <c r="DQ494" s="12"/>
      <c r="DR494" s="12"/>
      <c r="DS494" s="12"/>
      <c r="DT494" s="12"/>
      <c r="DU494" s="12"/>
      <c r="DV494" s="12"/>
      <c r="DW494" s="12"/>
      <c r="DX494" s="12"/>
      <c r="DY494" s="12"/>
      <c r="DZ494" s="12"/>
      <c r="EA494" s="12"/>
      <c r="EB494" s="12"/>
      <c r="EC494" s="12"/>
      <c r="ED494" s="12"/>
      <c r="EE494" s="12"/>
      <c r="EF494" s="12"/>
      <c r="EG494" s="12"/>
      <c r="EH494" s="12"/>
      <c r="EI494" s="12"/>
      <c r="EJ494" s="12"/>
      <c r="EK494" s="12"/>
      <c r="EL494" s="12"/>
      <c r="EM494" s="12"/>
      <c r="EN494" s="12"/>
      <c r="EO494" s="12"/>
      <c r="EP494" s="12"/>
      <c r="EQ494" s="12"/>
      <c r="ER494" s="12"/>
      <c r="ES494" s="12"/>
      <c r="ET494" s="12"/>
      <c r="EU494" s="12"/>
      <c r="EV494" s="12"/>
      <c r="EW494" s="12"/>
      <c r="EX494" s="12"/>
      <c r="EY494" s="12"/>
      <c r="EZ494" s="12"/>
      <c r="FA494" s="12"/>
      <c r="FB494" s="12"/>
      <c r="FC494" s="12"/>
      <c r="FD494" s="12"/>
      <c r="FE494" s="12"/>
      <c r="FF494" s="12"/>
      <c r="FG494" s="12"/>
      <c r="FH494" s="12"/>
      <c r="FI494" s="12"/>
      <c r="FJ494" s="12"/>
      <c r="FK494" s="12"/>
      <c r="FL494" s="12"/>
      <c r="FM494" s="12"/>
      <c r="FN494" s="12"/>
      <c r="FO494" s="12"/>
      <c r="FP494" s="12"/>
    </row>
    <row r="495" spans="1:172" s="69" customFormat="1" ht="14" customHeight="1" x14ac:dyDescent="0.2">
      <c r="A495" s="56" t="s">
        <v>134</v>
      </c>
      <c r="B495" s="50">
        <v>2.5999999999999999E-2</v>
      </c>
      <c r="C495" s="50">
        <v>9.02</v>
      </c>
      <c r="D495" s="51">
        <f>AVERAGE(B495,C495)</f>
        <v>4.5229999999999997</v>
      </c>
      <c r="E495" s="52">
        <v>-77.94</v>
      </c>
      <c r="F495" s="52">
        <v>165.11</v>
      </c>
      <c r="G495" s="53">
        <v>128</v>
      </c>
      <c r="H495" s="56"/>
      <c r="I495" s="56"/>
      <c r="J495" s="56"/>
      <c r="K495" s="56"/>
      <c r="L495" s="55">
        <v>-85.8443183196609</v>
      </c>
      <c r="M495" s="55">
        <v>11.20799390727899</v>
      </c>
      <c r="N495" s="54">
        <v>6.5444303081625401</v>
      </c>
      <c r="O495" s="54">
        <v>5.2938365261508302</v>
      </c>
      <c r="P495" s="54"/>
      <c r="Q495" s="54"/>
      <c r="R495" s="52">
        <v>802</v>
      </c>
      <c r="S495" s="55">
        <v>-85.402171226636298</v>
      </c>
      <c r="T495" s="55">
        <v>17.201599770219499</v>
      </c>
      <c r="U495" s="54">
        <v>-11.077994099153001</v>
      </c>
      <c r="V495" s="54">
        <v>-29.117842883450301</v>
      </c>
      <c r="W495" s="54">
        <v>0.65572612376141504</v>
      </c>
      <c r="X495" s="52" t="s">
        <v>1202</v>
      </c>
      <c r="Y495" s="56"/>
      <c r="Z495" s="52"/>
      <c r="AA495" s="56" t="b">
        <v>0</v>
      </c>
      <c r="AB495" s="52">
        <v>0</v>
      </c>
      <c r="AC495" s="56" t="s">
        <v>135</v>
      </c>
      <c r="AD495" s="52"/>
      <c r="AE495" s="52" t="s">
        <v>32</v>
      </c>
      <c r="AF495" s="56"/>
      <c r="AG495" s="49"/>
      <c r="AH495" s="56"/>
      <c r="AI495" s="12"/>
      <c r="AJ495" s="3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c r="DK495" s="12"/>
      <c r="DL495" s="12"/>
      <c r="DM495" s="12"/>
      <c r="DN495" s="12"/>
      <c r="DO495" s="12"/>
      <c r="DP495" s="12"/>
      <c r="DQ495" s="12"/>
      <c r="DR495" s="12"/>
      <c r="DS495" s="12"/>
      <c r="DT495" s="12"/>
      <c r="DU495" s="12"/>
      <c r="DV495" s="12"/>
      <c r="DW495" s="12"/>
      <c r="DX495" s="12"/>
      <c r="DY495" s="12"/>
      <c r="DZ495" s="12"/>
      <c r="EA495" s="12"/>
      <c r="EB495" s="12"/>
      <c r="EC495" s="12"/>
      <c r="ED495" s="12"/>
      <c r="EE495" s="12"/>
      <c r="EF495" s="12"/>
      <c r="EG495" s="12"/>
      <c r="EH495" s="12"/>
      <c r="EI495" s="12"/>
      <c r="EJ495" s="12"/>
      <c r="EK495" s="12"/>
      <c r="EL495" s="12"/>
      <c r="EM495" s="12"/>
      <c r="EN495" s="12"/>
      <c r="EO495" s="12"/>
      <c r="EP495" s="12"/>
      <c r="EQ495" s="12"/>
      <c r="ER495" s="12"/>
      <c r="ES495" s="12"/>
      <c r="ET495" s="12"/>
      <c r="EU495" s="12"/>
      <c r="EV495" s="12"/>
      <c r="EW495" s="12"/>
      <c r="EX495" s="12"/>
      <c r="EY495" s="12"/>
      <c r="EZ495" s="12"/>
      <c r="FA495" s="12"/>
      <c r="FB495" s="12"/>
      <c r="FC495" s="12"/>
      <c r="FD495" s="12"/>
      <c r="FE495" s="12"/>
      <c r="FF495" s="12"/>
      <c r="FG495" s="12"/>
      <c r="FH495" s="12"/>
      <c r="FI495" s="12"/>
      <c r="FJ495" s="12"/>
      <c r="FK495" s="12"/>
      <c r="FL495" s="12"/>
      <c r="FM495" s="12"/>
      <c r="FN495" s="12"/>
      <c r="FO495" s="12"/>
      <c r="FP495" s="12"/>
    </row>
    <row r="496" spans="1:172" s="69" customFormat="1" ht="14" customHeight="1" x14ac:dyDescent="0.2">
      <c r="A496" s="14" t="s">
        <v>219</v>
      </c>
      <c r="B496" s="9">
        <v>24</v>
      </c>
      <c r="C496" s="9">
        <v>30</v>
      </c>
      <c r="D496" s="13">
        <v>27</v>
      </c>
      <c r="E496" s="9">
        <v>-49.25</v>
      </c>
      <c r="F496" s="9">
        <v>69.5</v>
      </c>
      <c r="G496" s="34">
        <v>233</v>
      </c>
      <c r="H496" s="9">
        <v>188.9</v>
      </c>
      <c r="I496" s="9">
        <v>68.2</v>
      </c>
      <c r="J496" s="9">
        <v>16.5</v>
      </c>
      <c r="K496" s="9">
        <v>2.2999999999999998</v>
      </c>
      <c r="L496" s="13">
        <v>-85.5</v>
      </c>
      <c r="M496" s="6">
        <v>9.3000000000000007</v>
      </c>
      <c r="N496" s="9">
        <v>16.5</v>
      </c>
      <c r="O496" s="9">
        <v>2.2999999999999998</v>
      </c>
      <c r="P496" s="9" t="s">
        <v>1203</v>
      </c>
      <c r="Q496" s="9" t="s">
        <v>1203</v>
      </c>
      <c r="R496" s="7">
        <v>802</v>
      </c>
      <c r="S496" s="13">
        <v>-81.927069613145306</v>
      </c>
      <c r="T496" s="13">
        <v>33.300352446858497</v>
      </c>
      <c r="U496" s="9">
        <v>1.1758196528631899</v>
      </c>
      <c r="V496" s="9">
        <v>-31.908060133540999</v>
      </c>
      <c r="W496" s="9">
        <v>4.3650518867835899</v>
      </c>
      <c r="X496" s="7" t="s">
        <v>1202</v>
      </c>
      <c r="Y496" s="10"/>
      <c r="Z496" s="10"/>
      <c r="AA496" s="10" t="b">
        <v>1</v>
      </c>
      <c r="AB496" s="7">
        <v>0</v>
      </c>
      <c r="AC496" s="14" t="s">
        <v>220</v>
      </c>
      <c r="AD496" s="7"/>
      <c r="AE496" s="7" t="s">
        <v>147</v>
      </c>
      <c r="AF496" s="10" t="s">
        <v>221</v>
      </c>
      <c r="AG496" s="14" t="s">
        <v>1284</v>
      </c>
      <c r="AH496" s="10"/>
      <c r="AI496" s="12"/>
      <c r="AJ496" s="3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c r="DK496" s="12"/>
      <c r="DL496" s="12"/>
      <c r="DM496" s="12"/>
      <c r="DN496" s="12"/>
      <c r="DO496" s="12"/>
      <c r="DP496" s="12"/>
      <c r="DQ496" s="12"/>
      <c r="DR496" s="12"/>
      <c r="DS496" s="12"/>
      <c r="DT496" s="12"/>
      <c r="DU496" s="12"/>
      <c r="DV496" s="12"/>
      <c r="DW496" s="12"/>
      <c r="DX496" s="12"/>
      <c r="DY496" s="12"/>
      <c r="DZ496" s="12"/>
      <c r="EA496" s="12"/>
      <c r="EB496" s="12"/>
      <c r="EC496" s="12"/>
      <c r="ED496" s="12"/>
      <c r="EE496" s="12"/>
      <c r="EF496" s="12"/>
      <c r="EG496" s="12"/>
      <c r="EH496" s="12"/>
      <c r="EI496" s="12"/>
      <c r="EJ496" s="12"/>
      <c r="EK496" s="12"/>
      <c r="EL496" s="12"/>
      <c r="EM496" s="12"/>
      <c r="EN496" s="12"/>
      <c r="EO496" s="12"/>
      <c r="EP496" s="12"/>
      <c r="EQ496" s="12"/>
      <c r="ER496" s="12"/>
      <c r="ES496" s="12"/>
      <c r="ET496" s="12"/>
      <c r="EU496" s="12"/>
      <c r="EV496" s="12"/>
      <c r="EW496" s="12"/>
      <c r="EX496" s="12"/>
      <c r="EY496" s="12"/>
      <c r="EZ496" s="12"/>
      <c r="FA496" s="12"/>
      <c r="FB496" s="12"/>
      <c r="FC496" s="12"/>
      <c r="FD496" s="12"/>
      <c r="FE496" s="12"/>
      <c r="FF496" s="12"/>
      <c r="FG496" s="12"/>
      <c r="FH496" s="12"/>
      <c r="FI496" s="12"/>
      <c r="FJ496" s="12"/>
      <c r="FK496" s="12"/>
      <c r="FL496" s="12"/>
      <c r="FM496" s="12"/>
      <c r="FN496" s="12"/>
      <c r="FO496" s="12"/>
      <c r="FP496" s="12"/>
    </row>
    <row r="497" spans="1:172" s="69" customFormat="1" ht="14" customHeight="1" x14ac:dyDescent="0.2">
      <c r="A497" s="49" t="s">
        <v>613</v>
      </c>
      <c r="B497" s="54">
        <v>152</v>
      </c>
      <c r="C497" s="54">
        <v>176</v>
      </c>
      <c r="D497" s="55">
        <v>164</v>
      </c>
      <c r="E497" s="54">
        <v>-73.7</v>
      </c>
      <c r="F497" s="54">
        <v>345.1</v>
      </c>
      <c r="G497" s="58">
        <v>29</v>
      </c>
      <c r="H497" s="54">
        <v>29.3</v>
      </c>
      <c r="I497" s="54">
        <v>-52.2</v>
      </c>
      <c r="J497" s="54">
        <v>38.6</v>
      </c>
      <c r="K497" s="54">
        <v>4.4000000000000004</v>
      </c>
      <c r="L497" s="55">
        <v>-51.4</v>
      </c>
      <c r="M497" s="55">
        <v>203.4</v>
      </c>
      <c r="N497" s="54"/>
      <c r="O497" s="54"/>
      <c r="P497" s="61">
        <v>32.090814452253078</v>
      </c>
      <c r="Q497" s="64">
        <v>4.7971150313458155</v>
      </c>
      <c r="R497" s="52">
        <v>802</v>
      </c>
      <c r="S497" s="55">
        <v>-58.378521083346797</v>
      </c>
      <c r="T497" s="55">
        <v>99.734957756012605</v>
      </c>
      <c r="U497" s="54">
        <v>-7.7525839272092396</v>
      </c>
      <c r="V497" s="54">
        <v>-32.935608863221702</v>
      </c>
      <c r="W497" s="54">
        <v>55.691327864184601</v>
      </c>
      <c r="X497" s="52" t="s">
        <v>1202</v>
      </c>
      <c r="Y497" s="56"/>
      <c r="Z497" s="56"/>
      <c r="AA497" s="52" t="b">
        <v>1</v>
      </c>
      <c r="AB497" s="52" t="s">
        <v>31</v>
      </c>
      <c r="AC497" s="49" t="s">
        <v>614</v>
      </c>
      <c r="AD497" s="52">
        <v>1548</v>
      </c>
      <c r="AE497" s="52" t="s">
        <v>147</v>
      </c>
      <c r="AF497" s="56" t="s">
        <v>615</v>
      </c>
      <c r="AG497" s="49" t="s">
        <v>1334</v>
      </c>
      <c r="AH497" s="56" t="s">
        <v>1361</v>
      </c>
      <c r="AI497" s="12"/>
      <c r="AJ497" s="3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c r="DK497" s="12"/>
      <c r="DL497" s="12"/>
      <c r="DM497" s="12"/>
      <c r="DN497" s="12"/>
      <c r="DO497" s="12"/>
      <c r="DP497" s="12"/>
      <c r="DQ497" s="12"/>
      <c r="DR497" s="12"/>
      <c r="DS497" s="12"/>
      <c r="DT497" s="12"/>
      <c r="DU497" s="12"/>
      <c r="DV497" s="12"/>
      <c r="DW497" s="12"/>
      <c r="DX497" s="12"/>
      <c r="DY497" s="12"/>
      <c r="DZ497" s="12"/>
      <c r="EA497" s="12"/>
      <c r="EB497" s="12"/>
      <c r="EC497" s="12"/>
      <c r="ED497" s="12"/>
      <c r="EE497" s="12"/>
      <c r="EF497" s="12"/>
      <c r="EG497" s="12"/>
      <c r="EH497" s="12"/>
      <c r="EI497" s="12"/>
      <c r="EJ497" s="12"/>
      <c r="EK497" s="12"/>
      <c r="EL497" s="12"/>
      <c r="EM497" s="12"/>
      <c r="EN497" s="12"/>
      <c r="EO497" s="12"/>
      <c r="EP497" s="12"/>
      <c r="EQ497" s="12"/>
      <c r="ER497" s="12"/>
      <c r="ES497" s="12"/>
      <c r="ET497" s="12"/>
      <c r="EU497" s="12"/>
      <c r="EV497" s="12"/>
      <c r="EW497" s="12"/>
      <c r="EX497" s="12"/>
      <c r="EY497" s="12"/>
      <c r="EZ497" s="12"/>
      <c r="FA497" s="12"/>
      <c r="FB497" s="12"/>
      <c r="FC497" s="12"/>
      <c r="FD497" s="12"/>
      <c r="FE497" s="12"/>
      <c r="FF497" s="12"/>
      <c r="FG497" s="12"/>
      <c r="FH497" s="12"/>
      <c r="FI497" s="12"/>
      <c r="FJ497" s="12"/>
      <c r="FK497" s="12"/>
      <c r="FL497" s="12"/>
      <c r="FM497" s="12"/>
      <c r="FN497" s="12"/>
      <c r="FO497" s="12"/>
      <c r="FP497" s="12"/>
    </row>
    <row r="498" spans="1:172" s="69" customFormat="1" ht="14" customHeight="1" x14ac:dyDescent="0.2">
      <c r="A498" s="14" t="s">
        <v>645</v>
      </c>
      <c r="B498" s="9">
        <v>179.5</v>
      </c>
      <c r="C498" s="9">
        <v>182.5</v>
      </c>
      <c r="D498" s="13">
        <v>181</v>
      </c>
      <c r="E498" s="9">
        <v>-71.75</v>
      </c>
      <c r="F498" s="9">
        <v>162</v>
      </c>
      <c r="G498" s="34">
        <v>8</v>
      </c>
      <c r="H498" s="9">
        <v>307.60000000000002</v>
      </c>
      <c r="I498" s="9">
        <v>-78.66</v>
      </c>
      <c r="J498" s="3"/>
      <c r="K498" s="3"/>
      <c r="L498" s="13">
        <v>-72</v>
      </c>
      <c r="M498" s="13">
        <v>236</v>
      </c>
      <c r="N498" s="9">
        <v>28</v>
      </c>
      <c r="O498" s="9">
        <v>9.3000000000000007</v>
      </c>
      <c r="P498" s="9" t="s">
        <v>1203</v>
      </c>
      <c r="Q498" s="9" t="s">
        <v>1203</v>
      </c>
      <c r="R498" s="7">
        <v>802</v>
      </c>
      <c r="S498" s="13">
        <v>-51.253988663891697</v>
      </c>
      <c r="T498" s="13">
        <v>54.008072696575198</v>
      </c>
      <c r="U498" s="9">
        <v>-8.5523731700109202</v>
      </c>
      <c r="V498" s="9">
        <v>-33.755915319411599</v>
      </c>
      <c r="W498" s="9">
        <v>57.3555731870917</v>
      </c>
      <c r="X498" s="7" t="s">
        <v>1202</v>
      </c>
      <c r="Y498" s="7"/>
      <c r="Z498" s="7"/>
      <c r="AA498" s="7" t="b">
        <v>1</v>
      </c>
      <c r="AB498" s="7">
        <v>0</v>
      </c>
      <c r="AC498" s="14" t="s">
        <v>1439</v>
      </c>
      <c r="AD498" s="7"/>
      <c r="AE498" s="7" t="s">
        <v>1369</v>
      </c>
      <c r="AF498" s="10" t="s">
        <v>646</v>
      </c>
      <c r="AG498" s="14" t="s">
        <v>1232</v>
      </c>
      <c r="AH498" s="10"/>
      <c r="AI498" s="12"/>
      <c r="AJ498" s="3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c r="DK498" s="12"/>
      <c r="DL498" s="12"/>
      <c r="DM498" s="12"/>
      <c r="DN498" s="12"/>
      <c r="DO498" s="12"/>
      <c r="DP498" s="12"/>
      <c r="DQ498" s="12"/>
      <c r="DR498" s="12"/>
      <c r="DS498" s="12"/>
      <c r="DT498" s="12"/>
      <c r="DU498" s="12"/>
      <c r="DV498" s="12"/>
      <c r="DW498" s="12"/>
      <c r="DX498" s="12"/>
      <c r="DY498" s="12"/>
      <c r="DZ498" s="12"/>
      <c r="EA498" s="12"/>
      <c r="EB498" s="12"/>
      <c r="EC498" s="12"/>
      <c r="ED498" s="12"/>
      <c r="EE498" s="12"/>
      <c r="EF498" s="12"/>
      <c r="EG498" s="12"/>
      <c r="EH498" s="12"/>
      <c r="EI498" s="12"/>
      <c r="EJ498" s="12"/>
      <c r="EK498" s="12"/>
      <c r="EL498" s="12"/>
      <c r="EM498" s="12"/>
      <c r="EN498" s="12"/>
      <c r="EO498" s="12"/>
      <c r="EP498" s="12"/>
      <c r="EQ498" s="12"/>
      <c r="ER498" s="12"/>
      <c r="ES498" s="12"/>
      <c r="ET498" s="12"/>
      <c r="EU498" s="12"/>
      <c r="EV498" s="12"/>
      <c r="EW498" s="12"/>
      <c r="EX498" s="12"/>
      <c r="EY498" s="12"/>
      <c r="EZ498" s="12"/>
      <c r="FA498" s="12"/>
      <c r="FB498" s="12"/>
      <c r="FC498" s="12"/>
      <c r="FD498" s="12"/>
      <c r="FE498" s="12"/>
      <c r="FF498" s="12"/>
      <c r="FG498" s="12"/>
      <c r="FH498" s="12"/>
      <c r="FI498" s="12"/>
      <c r="FJ498" s="12"/>
      <c r="FK498" s="12"/>
      <c r="FL498" s="12"/>
      <c r="FM498" s="12"/>
      <c r="FN498" s="12"/>
      <c r="FO498" s="12"/>
      <c r="FP498" s="12"/>
    </row>
    <row r="499" spans="1:172" s="69" customFormat="1" ht="14" customHeight="1" x14ac:dyDescent="0.2">
      <c r="A499" s="10" t="s">
        <v>642</v>
      </c>
      <c r="B499" s="7">
        <v>179.5</v>
      </c>
      <c r="C499" s="9">
        <v>182.5</v>
      </c>
      <c r="D499" s="13">
        <v>181</v>
      </c>
      <c r="E499" s="9">
        <v>-73.3</v>
      </c>
      <c r="F499" s="9">
        <v>162.9</v>
      </c>
      <c r="G499" s="34">
        <v>22</v>
      </c>
      <c r="H499" s="7">
        <v>285.39999999999998</v>
      </c>
      <c r="I499" s="9">
        <v>-78.3</v>
      </c>
      <c r="J499" s="9">
        <v>25.7</v>
      </c>
      <c r="K499" s="9">
        <v>6.2</v>
      </c>
      <c r="L499" s="13">
        <v>-66.400000000000006</v>
      </c>
      <c r="M499" s="13">
        <v>222.7</v>
      </c>
      <c r="N499" s="9">
        <v>22.9</v>
      </c>
      <c r="O499" s="9">
        <v>7</v>
      </c>
      <c r="P499" s="9" t="s">
        <v>1203</v>
      </c>
      <c r="Q499" s="9" t="s">
        <v>1203</v>
      </c>
      <c r="R499" s="30">
        <v>802</v>
      </c>
      <c r="S499" s="13">
        <v>-55.223161127232899</v>
      </c>
      <c r="T499" s="13">
        <v>64.253548048177095</v>
      </c>
      <c r="U499" s="9">
        <v>-8.5523731700109202</v>
      </c>
      <c r="V499" s="9">
        <v>-33.755915319411599</v>
      </c>
      <c r="W499" s="9">
        <v>57.3555731870917</v>
      </c>
      <c r="X499" s="30" t="s">
        <v>1202</v>
      </c>
      <c r="Y499" s="7"/>
      <c r="Z499" s="7"/>
      <c r="AA499" s="7" t="b">
        <v>1</v>
      </c>
      <c r="AB499" s="7">
        <v>0</v>
      </c>
      <c r="AC499" s="41" t="s">
        <v>643</v>
      </c>
      <c r="AD499" s="7"/>
      <c r="AE499" s="7" t="s">
        <v>1369</v>
      </c>
      <c r="AF499" s="10" t="s">
        <v>644</v>
      </c>
      <c r="AG499" s="14" t="s">
        <v>1232</v>
      </c>
      <c r="AH499" s="10"/>
      <c r="AI499" s="12"/>
      <c r="AJ499" s="3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c r="DK499" s="12"/>
      <c r="DL499" s="12"/>
      <c r="DM499" s="12"/>
      <c r="DN499" s="12"/>
      <c r="DO499" s="12"/>
      <c r="DP499" s="12"/>
      <c r="DQ499" s="12"/>
      <c r="DR499" s="12"/>
      <c r="DS499" s="12"/>
      <c r="DT499" s="12"/>
      <c r="DU499" s="12"/>
      <c r="DV499" s="12"/>
      <c r="DW499" s="12"/>
      <c r="DX499" s="12"/>
      <c r="DY499" s="12"/>
      <c r="DZ499" s="12"/>
      <c r="EA499" s="12"/>
      <c r="EB499" s="12"/>
      <c r="EC499" s="12"/>
      <c r="ED499" s="12"/>
      <c r="EE499" s="12"/>
      <c r="EF499" s="12"/>
      <c r="EG499" s="12"/>
      <c r="EH499" s="12"/>
      <c r="EI499" s="12"/>
      <c r="EJ499" s="12"/>
      <c r="EK499" s="12"/>
      <c r="EL499" s="12"/>
      <c r="EM499" s="12"/>
      <c r="EN499" s="12"/>
      <c r="EO499" s="12"/>
      <c r="EP499" s="12"/>
      <c r="EQ499" s="12"/>
      <c r="ER499" s="12"/>
      <c r="ES499" s="12"/>
      <c r="ET499" s="12"/>
      <c r="EU499" s="12"/>
      <c r="EV499" s="12"/>
      <c r="EW499" s="12"/>
      <c r="EX499" s="12"/>
      <c r="EY499" s="12"/>
      <c r="EZ499" s="12"/>
      <c r="FA499" s="12"/>
      <c r="FB499" s="12"/>
      <c r="FC499" s="12"/>
      <c r="FD499" s="12"/>
      <c r="FE499" s="12"/>
      <c r="FF499" s="12"/>
      <c r="FG499" s="12"/>
      <c r="FH499" s="12"/>
      <c r="FI499" s="12"/>
      <c r="FJ499" s="12"/>
      <c r="FK499" s="12"/>
      <c r="FL499" s="12"/>
      <c r="FM499" s="12"/>
      <c r="FN499" s="12"/>
      <c r="FO499" s="12"/>
      <c r="FP499" s="12"/>
    </row>
    <row r="500" spans="1:172" s="69" customFormat="1" ht="14" customHeight="1" x14ac:dyDescent="0.2">
      <c r="A500" s="49" t="s">
        <v>680</v>
      </c>
      <c r="B500" s="54"/>
      <c r="C500" s="54"/>
      <c r="D500" s="55">
        <v>183</v>
      </c>
      <c r="E500" s="54">
        <v>-77.5</v>
      </c>
      <c r="F500" s="54">
        <v>161.6</v>
      </c>
      <c r="G500" s="58">
        <v>1</v>
      </c>
      <c r="H500" s="54">
        <v>237.6</v>
      </c>
      <c r="I500" s="54">
        <v>-69.400000000000006</v>
      </c>
      <c r="J500" s="54">
        <v>136</v>
      </c>
      <c r="K500" s="54">
        <v>2.4</v>
      </c>
      <c r="L500" s="55">
        <v>-45.3</v>
      </c>
      <c r="M500" s="55">
        <v>208</v>
      </c>
      <c r="N500" s="54"/>
      <c r="O500" s="54"/>
      <c r="P500" s="54">
        <v>55.284922402621596</v>
      </c>
      <c r="Q500" s="54">
        <v>0</v>
      </c>
      <c r="R500" s="52">
        <v>802</v>
      </c>
      <c r="S500" s="55">
        <v>-62.081876268953998</v>
      </c>
      <c r="T500" s="55">
        <v>106.312297164296</v>
      </c>
      <c r="U500" s="54">
        <v>-8.6089719108621399</v>
      </c>
      <c r="V500" s="54">
        <v>-33.756122249750703</v>
      </c>
      <c r="W500" s="54">
        <v>57.420716964977998</v>
      </c>
      <c r="X500" s="52" t="s">
        <v>1202</v>
      </c>
      <c r="Y500" s="56"/>
      <c r="Z500" s="56"/>
      <c r="AA500" s="52" t="b">
        <v>0</v>
      </c>
      <c r="AB500" s="52" t="s">
        <v>31</v>
      </c>
      <c r="AC500" s="49" t="s">
        <v>681</v>
      </c>
      <c r="AD500" s="52">
        <v>1599</v>
      </c>
      <c r="AE500" s="52" t="s">
        <v>147</v>
      </c>
      <c r="AF500" s="56"/>
      <c r="AG500" s="49" t="s">
        <v>682</v>
      </c>
      <c r="AH500" s="56"/>
      <c r="AI500" s="12"/>
      <c r="AJ500" s="3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c r="DK500" s="12"/>
      <c r="DL500" s="12"/>
      <c r="DM500" s="12"/>
      <c r="DN500" s="12"/>
      <c r="DO500" s="12"/>
      <c r="DP500" s="12"/>
      <c r="DQ500" s="12"/>
      <c r="DR500" s="12"/>
      <c r="DS500" s="12"/>
      <c r="DT500" s="12"/>
      <c r="DU500" s="12"/>
      <c r="DV500" s="12"/>
      <c r="DW500" s="12"/>
      <c r="DX500" s="12"/>
      <c r="DY500" s="12"/>
      <c r="DZ500" s="12"/>
      <c r="EA500" s="12"/>
      <c r="EB500" s="12"/>
      <c r="EC500" s="12"/>
      <c r="ED500" s="12"/>
      <c r="EE500" s="12"/>
      <c r="EF500" s="12"/>
      <c r="EG500" s="12"/>
      <c r="EH500" s="12"/>
      <c r="EI500" s="12"/>
      <c r="EJ500" s="12"/>
      <c r="EK500" s="12"/>
      <c r="EL500" s="12"/>
      <c r="EM500" s="12"/>
      <c r="EN500" s="12"/>
      <c r="EO500" s="12"/>
      <c r="EP500" s="12"/>
      <c r="EQ500" s="12"/>
      <c r="ER500" s="12"/>
      <c r="ES500" s="12"/>
      <c r="ET500" s="12"/>
      <c r="EU500" s="12"/>
      <c r="EV500" s="12"/>
      <c r="EW500" s="12"/>
      <c r="EX500" s="12"/>
      <c r="EY500" s="12"/>
      <c r="EZ500" s="12"/>
      <c r="FA500" s="12"/>
      <c r="FB500" s="12"/>
      <c r="FC500" s="12"/>
      <c r="FD500" s="12"/>
      <c r="FE500" s="12"/>
      <c r="FF500" s="12"/>
      <c r="FG500" s="12"/>
      <c r="FH500" s="12"/>
      <c r="FI500" s="12"/>
      <c r="FJ500" s="12"/>
      <c r="FK500" s="12"/>
      <c r="FL500" s="12"/>
      <c r="FM500" s="12"/>
      <c r="FN500" s="12"/>
      <c r="FO500" s="12"/>
      <c r="FP500" s="12"/>
    </row>
    <row r="501" spans="1:172" s="81" customFormat="1" x14ac:dyDescent="0.2">
      <c r="A501" s="49" t="s">
        <v>683</v>
      </c>
      <c r="B501" s="54"/>
      <c r="C501" s="54"/>
      <c r="D501" s="55">
        <v>183</v>
      </c>
      <c r="E501" s="54"/>
      <c r="F501" s="54"/>
      <c r="G501" s="58">
        <v>4</v>
      </c>
      <c r="H501" s="54"/>
      <c r="I501" s="54"/>
      <c r="J501" s="54">
        <v>82.1</v>
      </c>
      <c r="K501" s="54">
        <v>10.199999999999999</v>
      </c>
      <c r="L501" s="55">
        <v>-50.5</v>
      </c>
      <c r="M501" s="55">
        <v>211.4</v>
      </c>
      <c r="N501" s="54"/>
      <c r="O501" s="54"/>
      <c r="P501" s="54">
        <v>205.24999999999997</v>
      </c>
      <c r="Q501" s="54">
        <v>6.4284716729221847</v>
      </c>
      <c r="R501" s="52">
        <v>802</v>
      </c>
      <c r="S501" s="55">
        <v>-62.390292746878501</v>
      </c>
      <c r="T501" s="55">
        <v>94.127152239622305</v>
      </c>
      <c r="U501" s="54">
        <v>-8.6089719108621399</v>
      </c>
      <c r="V501" s="54">
        <v>-33.756122249750703</v>
      </c>
      <c r="W501" s="54">
        <v>57.420716964977998</v>
      </c>
      <c r="X501" s="52" t="s">
        <v>1202</v>
      </c>
      <c r="Y501" s="56"/>
      <c r="Z501" s="56"/>
      <c r="AA501" s="52" t="b">
        <v>0</v>
      </c>
      <c r="AB501" s="52" t="s">
        <v>31</v>
      </c>
      <c r="AC501" s="49" t="s">
        <v>684</v>
      </c>
      <c r="AD501" s="52">
        <v>1657</v>
      </c>
      <c r="AE501" s="52" t="s">
        <v>147</v>
      </c>
      <c r="AF501" s="56"/>
      <c r="AG501" s="49"/>
      <c r="AH501" s="56" t="s">
        <v>685</v>
      </c>
      <c r="AI501" s="36"/>
      <c r="AJ501" s="32"/>
      <c r="AK501" s="36"/>
      <c r="AL501" s="36"/>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c r="DI501" s="36"/>
      <c r="DJ501" s="36"/>
      <c r="DK501" s="36"/>
      <c r="DL501" s="36"/>
      <c r="DM501" s="36"/>
      <c r="DN501" s="36"/>
      <c r="DO501" s="36"/>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row>
    <row r="502" spans="1:172" s="70" customFormat="1" ht="14" customHeight="1" x14ac:dyDescent="0.2">
      <c r="A502" s="49" t="s">
        <v>677</v>
      </c>
      <c r="B502" s="54"/>
      <c r="C502" s="54"/>
      <c r="D502" s="55">
        <v>183</v>
      </c>
      <c r="E502" s="54"/>
      <c r="F502" s="54"/>
      <c r="G502" s="58">
        <v>1</v>
      </c>
      <c r="H502" s="54"/>
      <c r="I502" s="54"/>
      <c r="J502" s="54"/>
      <c r="K502" s="54">
        <v>3.3</v>
      </c>
      <c r="L502" s="55">
        <v>-57.8</v>
      </c>
      <c r="M502" s="55">
        <v>224.3</v>
      </c>
      <c r="N502" s="54"/>
      <c r="O502" s="54"/>
      <c r="P502" s="54"/>
      <c r="Q502" s="54"/>
      <c r="R502" s="52">
        <v>802</v>
      </c>
      <c r="S502" s="55">
        <v>-63.026980200535597</v>
      </c>
      <c r="T502" s="55">
        <v>71.205266285144901</v>
      </c>
      <c r="U502" s="54">
        <v>-8.6089719108621399</v>
      </c>
      <c r="V502" s="54">
        <v>-33.756122249750703</v>
      </c>
      <c r="W502" s="54">
        <v>57.420716964977998</v>
      </c>
      <c r="X502" s="52" t="s">
        <v>1202</v>
      </c>
      <c r="Y502" s="56"/>
      <c r="Z502" s="56"/>
      <c r="AA502" s="52" t="b">
        <v>0</v>
      </c>
      <c r="AB502" s="52" t="s">
        <v>31</v>
      </c>
      <c r="AC502" s="49" t="s">
        <v>678</v>
      </c>
      <c r="AD502" s="52">
        <v>1838</v>
      </c>
      <c r="AE502" s="52" t="s">
        <v>147</v>
      </c>
      <c r="AF502" s="56"/>
      <c r="AG502" s="49" t="s">
        <v>679</v>
      </c>
      <c r="AH502" s="56"/>
      <c r="AI502" s="17"/>
      <c r="AJ502" s="32"/>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c r="DS502" s="17"/>
      <c r="DT502" s="17"/>
      <c r="DU502" s="17"/>
      <c r="DV502" s="17"/>
      <c r="DW502" s="17"/>
      <c r="DX502" s="17"/>
      <c r="DY502" s="17"/>
      <c r="DZ502" s="17"/>
      <c r="EA502" s="17"/>
      <c r="EB502" s="17"/>
      <c r="EC502" s="17"/>
      <c r="ED502" s="17"/>
      <c r="EE502" s="17"/>
      <c r="EF502" s="17"/>
      <c r="EG502" s="17"/>
      <c r="EH502" s="17"/>
      <c r="EI502" s="17"/>
      <c r="EJ502" s="17"/>
      <c r="EK502" s="17"/>
      <c r="EL502" s="17"/>
      <c r="EM502" s="17"/>
      <c r="EN502" s="17"/>
      <c r="EO502" s="17"/>
      <c r="EP502" s="17"/>
      <c r="EQ502" s="17"/>
      <c r="ER502" s="17"/>
      <c r="ES502" s="17"/>
      <c r="ET502" s="17"/>
      <c r="EU502" s="17"/>
      <c r="EV502" s="17"/>
      <c r="EW502" s="17"/>
      <c r="EX502" s="17"/>
      <c r="EY502" s="17"/>
      <c r="EZ502" s="17"/>
      <c r="FA502" s="17"/>
      <c r="FB502" s="17"/>
      <c r="FC502" s="17"/>
      <c r="FD502" s="17"/>
      <c r="FE502" s="17"/>
      <c r="FF502" s="17"/>
      <c r="FG502" s="17"/>
      <c r="FH502" s="17"/>
      <c r="FI502" s="17"/>
      <c r="FJ502" s="17"/>
      <c r="FK502" s="17"/>
      <c r="FL502" s="17"/>
      <c r="FM502" s="17"/>
      <c r="FN502" s="17"/>
      <c r="FO502" s="17"/>
      <c r="FP502" s="17"/>
    </row>
    <row r="503" spans="1:172" s="82" customFormat="1" ht="15" customHeight="1" x14ac:dyDescent="0.2">
      <c r="A503" s="14" t="s">
        <v>675</v>
      </c>
      <c r="B503" s="9">
        <v>179</v>
      </c>
      <c r="C503" s="9">
        <v>187</v>
      </c>
      <c r="D503" s="13">
        <v>183</v>
      </c>
      <c r="E503" s="9">
        <v>-74.5</v>
      </c>
      <c r="F503" s="9">
        <v>342</v>
      </c>
      <c r="G503" s="6">
        <v>15</v>
      </c>
      <c r="H503" s="9">
        <v>261.39999999999998</v>
      </c>
      <c r="I503" s="9">
        <v>-68.8</v>
      </c>
      <c r="J503" s="9">
        <v>123.8</v>
      </c>
      <c r="K503" s="9">
        <v>3.4</v>
      </c>
      <c r="L503" s="13">
        <v>-47.8</v>
      </c>
      <c r="M503" s="13">
        <v>225.5</v>
      </c>
      <c r="N503" s="9">
        <v>59.5</v>
      </c>
      <c r="O503" s="9">
        <v>5.5</v>
      </c>
      <c r="P503" s="9" t="s">
        <v>1203</v>
      </c>
      <c r="Q503" s="9" t="s">
        <v>1203</v>
      </c>
      <c r="R503" s="7">
        <v>802</v>
      </c>
      <c r="S503" s="13">
        <v>-71.413085997555996</v>
      </c>
      <c r="T503" s="13">
        <v>85.663268891839806</v>
      </c>
      <c r="U503" s="9">
        <v>-8.6089719108621399</v>
      </c>
      <c r="V503" s="9">
        <v>-33.756122249750703</v>
      </c>
      <c r="W503" s="9">
        <v>57.420716964977998</v>
      </c>
      <c r="X503" s="7" t="s">
        <v>1202</v>
      </c>
      <c r="Y503" s="10"/>
      <c r="Z503" s="10"/>
      <c r="AA503" s="7" t="b">
        <v>1</v>
      </c>
      <c r="AB503" s="7">
        <v>0</v>
      </c>
      <c r="AC503" s="14" t="s">
        <v>676</v>
      </c>
      <c r="AD503" s="7">
        <v>2721</v>
      </c>
      <c r="AE503" s="7" t="s">
        <v>147</v>
      </c>
      <c r="AF503" s="10" t="s">
        <v>663</v>
      </c>
      <c r="AG503" s="14"/>
      <c r="AH503" s="10"/>
      <c r="AI503" s="2"/>
      <c r="AJ503" s="3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row>
    <row r="504" spans="1:172" s="69" customFormat="1" ht="15" customHeight="1" x14ac:dyDescent="0.2">
      <c r="A504" s="49" t="s">
        <v>699</v>
      </c>
      <c r="B504" s="54">
        <v>174.7</v>
      </c>
      <c r="C504" s="54">
        <v>201.4</v>
      </c>
      <c r="D504" s="55">
        <f>(B504+C504)/2</f>
        <v>188.05</v>
      </c>
      <c r="E504" s="54">
        <v>-84</v>
      </c>
      <c r="F504" s="54">
        <v>165</v>
      </c>
      <c r="G504" s="58">
        <v>12</v>
      </c>
      <c r="H504" s="54">
        <v>252.7</v>
      </c>
      <c r="I504" s="54">
        <v>-64.2</v>
      </c>
      <c r="J504" s="54">
        <v>40.5</v>
      </c>
      <c r="K504" s="54">
        <v>6.9</v>
      </c>
      <c r="L504" s="55">
        <v>-44.1</v>
      </c>
      <c r="M504" s="55">
        <v>231.5</v>
      </c>
      <c r="N504" s="54"/>
      <c r="O504" s="54"/>
      <c r="P504" s="54">
        <v>20.390612196142392</v>
      </c>
      <c r="Q504" s="54">
        <v>9.8479483817171971</v>
      </c>
      <c r="R504" s="52">
        <v>802</v>
      </c>
      <c r="S504" s="55">
        <v>-76.937722166549094</v>
      </c>
      <c r="T504" s="55">
        <v>82.932495113383297</v>
      </c>
      <c r="U504" s="54">
        <v>-8.6089719108621399</v>
      </c>
      <c r="V504" s="54">
        <v>-33.756122249750703</v>
      </c>
      <c r="W504" s="54">
        <v>57.420716964977998</v>
      </c>
      <c r="X504" s="52" t="s">
        <v>1202</v>
      </c>
      <c r="Y504" s="56"/>
      <c r="Z504" s="56"/>
      <c r="AA504" s="52" t="b">
        <v>1</v>
      </c>
      <c r="AB504" s="52" t="s">
        <v>31</v>
      </c>
      <c r="AC504" s="49" t="s">
        <v>700</v>
      </c>
      <c r="AD504" s="52">
        <v>808</v>
      </c>
      <c r="AE504" s="52" t="s">
        <v>147</v>
      </c>
      <c r="AF504" s="56" t="s">
        <v>701</v>
      </c>
      <c r="AG504" s="79"/>
      <c r="AH504" s="56" t="s">
        <v>1368</v>
      </c>
      <c r="AI504" s="12"/>
      <c r="AJ504" s="3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c r="DK504" s="12"/>
      <c r="DL504" s="12"/>
      <c r="DM504" s="12"/>
      <c r="DN504" s="12"/>
      <c r="DO504" s="12"/>
      <c r="DP504" s="12"/>
      <c r="DQ504" s="12"/>
      <c r="DR504" s="12"/>
      <c r="DS504" s="12"/>
      <c r="DT504" s="12"/>
      <c r="DU504" s="12"/>
      <c r="DV504" s="12"/>
      <c r="DW504" s="12"/>
      <c r="DX504" s="12"/>
      <c r="DY504" s="12"/>
      <c r="DZ504" s="12"/>
      <c r="EA504" s="12"/>
      <c r="EB504" s="12"/>
      <c r="EC504" s="12"/>
      <c r="ED504" s="12"/>
      <c r="EE504" s="12"/>
      <c r="EF504" s="12"/>
      <c r="EG504" s="12"/>
      <c r="EH504" s="12"/>
      <c r="EI504" s="12"/>
      <c r="EJ504" s="12"/>
      <c r="EK504" s="12"/>
      <c r="EL504" s="12"/>
      <c r="EM504" s="12"/>
      <c r="EN504" s="12"/>
      <c r="EO504" s="12"/>
      <c r="EP504" s="12"/>
      <c r="EQ504" s="12"/>
      <c r="ER504" s="12"/>
      <c r="ES504" s="12"/>
      <c r="ET504" s="12"/>
      <c r="EU504" s="12"/>
      <c r="EV504" s="12"/>
      <c r="EW504" s="12"/>
      <c r="EX504" s="12"/>
      <c r="EY504" s="12"/>
      <c r="EZ504" s="12"/>
      <c r="FA504" s="12"/>
      <c r="FB504" s="12"/>
      <c r="FC504" s="12"/>
      <c r="FD504" s="12"/>
      <c r="FE504" s="12"/>
      <c r="FF504" s="12"/>
      <c r="FG504" s="12"/>
      <c r="FH504" s="12"/>
      <c r="FI504" s="12"/>
      <c r="FJ504" s="12"/>
      <c r="FK504" s="12"/>
      <c r="FL504" s="12"/>
      <c r="FM504" s="12"/>
      <c r="FN504" s="12"/>
      <c r="FO504" s="12"/>
      <c r="FP504" s="12"/>
    </row>
    <row r="505" spans="1:172" s="69" customFormat="1" ht="15" customHeight="1" x14ac:dyDescent="0.2">
      <c r="A505" s="49" t="s">
        <v>714</v>
      </c>
      <c r="B505" s="54">
        <v>160</v>
      </c>
      <c r="C505" s="54">
        <v>230</v>
      </c>
      <c r="D505" s="55">
        <v>195</v>
      </c>
      <c r="E505" s="52">
        <v>-73.3</v>
      </c>
      <c r="F505" s="54">
        <v>345</v>
      </c>
      <c r="G505" s="58">
        <v>32</v>
      </c>
      <c r="H505" s="54">
        <v>50.9</v>
      </c>
      <c r="I505" s="54">
        <v>-50.2</v>
      </c>
      <c r="J505" s="54">
        <v>46.6</v>
      </c>
      <c r="K505" s="54">
        <v>3.8</v>
      </c>
      <c r="L505" s="55">
        <v>-41.8</v>
      </c>
      <c r="M505" s="55">
        <v>226.5</v>
      </c>
      <c r="N505" s="54"/>
      <c r="O505" s="54"/>
      <c r="P505" s="54">
        <v>41.932129299606764</v>
      </c>
      <c r="Q505" s="54">
        <v>3.9699020685650508</v>
      </c>
      <c r="R505" s="52">
        <v>802</v>
      </c>
      <c r="S505" s="55">
        <v>-75.769730519328306</v>
      </c>
      <c r="T505" s="55">
        <v>100.649334887137</v>
      </c>
      <c r="U505" s="54">
        <v>-8.6089719108621399</v>
      </c>
      <c r="V505" s="54">
        <v>-33.756122249750703</v>
      </c>
      <c r="W505" s="54">
        <v>57.420716964977998</v>
      </c>
      <c r="X505" s="52" t="s">
        <v>1202</v>
      </c>
      <c r="Y505" s="56"/>
      <c r="Z505" s="56"/>
      <c r="AA505" s="52" t="b">
        <v>1</v>
      </c>
      <c r="AB505" s="52" t="s">
        <v>31</v>
      </c>
      <c r="AC505" s="49" t="s">
        <v>715</v>
      </c>
      <c r="AD505" s="52">
        <v>1154</v>
      </c>
      <c r="AE505" s="52" t="s">
        <v>147</v>
      </c>
      <c r="AF505" s="56" t="s">
        <v>717</v>
      </c>
      <c r="AG505" s="79" t="s">
        <v>716</v>
      </c>
      <c r="AH505" s="56" t="s">
        <v>1367</v>
      </c>
      <c r="AI505" s="12"/>
      <c r="AJ505" s="3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c r="DK505" s="12"/>
      <c r="DL505" s="12"/>
      <c r="DM505" s="12"/>
      <c r="DN505" s="12"/>
      <c r="DO505" s="12"/>
      <c r="DP505" s="12"/>
      <c r="DQ505" s="12"/>
      <c r="DR505" s="12"/>
      <c r="DS505" s="12"/>
      <c r="DT505" s="12"/>
      <c r="DU505" s="12"/>
      <c r="DV505" s="12"/>
      <c r="DW505" s="12"/>
      <c r="DX505" s="12"/>
      <c r="DY505" s="12"/>
      <c r="DZ505" s="12"/>
      <c r="EA505" s="12"/>
      <c r="EB505" s="12"/>
      <c r="EC505" s="12"/>
      <c r="ED505" s="12"/>
      <c r="EE505" s="12"/>
      <c r="EF505" s="12"/>
      <c r="EG505" s="12"/>
      <c r="EH505" s="12"/>
      <c r="EI505" s="12"/>
      <c r="EJ505" s="12"/>
      <c r="EK505" s="12"/>
      <c r="EL505" s="12"/>
      <c r="EM505" s="12"/>
      <c r="EN505" s="12"/>
      <c r="EO505" s="12"/>
      <c r="EP505" s="12"/>
      <c r="EQ505" s="12"/>
      <c r="ER505" s="12"/>
      <c r="ES505" s="12"/>
      <c r="ET505" s="12"/>
      <c r="EU505" s="12"/>
      <c r="EV505" s="12"/>
      <c r="EW505" s="12"/>
      <c r="EX505" s="12"/>
      <c r="EY505" s="12"/>
      <c r="EZ505" s="12"/>
      <c r="FA505" s="12"/>
      <c r="FB505" s="12"/>
      <c r="FC505" s="12"/>
      <c r="FD505" s="12"/>
      <c r="FE505" s="12"/>
      <c r="FF505" s="12"/>
      <c r="FG505" s="12"/>
      <c r="FH505" s="12"/>
      <c r="FI505" s="12"/>
      <c r="FJ505" s="12"/>
      <c r="FK505" s="12"/>
      <c r="FL505" s="12"/>
      <c r="FM505" s="12"/>
      <c r="FN505" s="12"/>
      <c r="FO505" s="12"/>
      <c r="FP505" s="12"/>
    </row>
    <row r="506" spans="1:172" s="69" customFormat="1" ht="15" customHeight="1" x14ac:dyDescent="0.2">
      <c r="A506" s="10" t="s">
        <v>1437</v>
      </c>
      <c r="B506" s="9">
        <v>47.8</v>
      </c>
      <c r="C506" s="9">
        <v>56</v>
      </c>
      <c r="D506" s="13">
        <v>51.9</v>
      </c>
      <c r="E506" s="9">
        <v>-62.08</v>
      </c>
      <c r="F506" s="9">
        <v>301.67</v>
      </c>
      <c r="G506" s="34">
        <v>22</v>
      </c>
      <c r="H506" s="9">
        <v>342</v>
      </c>
      <c r="I506" s="9">
        <v>-70</v>
      </c>
      <c r="J506" s="9">
        <v>42</v>
      </c>
      <c r="K506" s="9">
        <v>5</v>
      </c>
      <c r="L506" s="13">
        <v>-79</v>
      </c>
      <c r="M506" s="13">
        <v>48</v>
      </c>
      <c r="N506" s="10"/>
      <c r="O506" s="10"/>
      <c r="P506" s="9">
        <v>16.673759611973598</v>
      </c>
      <c r="Q506" s="9">
        <v>7.8247860266192228</v>
      </c>
      <c r="R506" s="7">
        <v>803</v>
      </c>
      <c r="S506" s="13">
        <v>-69.610363310208101</v>
      </c>
      <c r="T506" s="13">
        <v>49.982056608767003</v>
      </c>
      <c r="U506" s="9">
        <v>8.8540228496274391</v>
      </c>
      <c r="V506" s="9">
        <v>-40.1264237758935</v>
      </c>
      <c r="W506" s="9">
        <v>9.5041612120755996</v>
      </c>
      <c r="X506" s="7" t="s">
        <v>1202</v>
      </c>
      <c r="Y506" s="10"/>
      <c r="Z506" s="10"/>
      <c r="AA506" s="10" t="b">
        <v>1</v>
      </c>
      <c r="AB506" s="7">
        <v>0</v>
      </c>
      <c r="AC506" s="14" t="s">
        <v>1337</v>
      </c>
      <c r="AD506" s="7"/>
      <c r="AE506" s="7" t="s">
        <v>1369</v>
      </c>
      <c r="AF506" s="10" t="s">
        <v>276</v>
      </c>
      <c r="AG506" s="14"/>
      <c r="AH506" s="10"/>
      <c r="AI506" s="12"/>
      <c r="AJ506" s="3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c r="DK506" s="12"/>
      <c r="DL506" s="12"/>
      <c r="DM506" s="12"/>
      <c r="DN506" s="12"/>
      <c r="DO506" s="12"/>
      <c r="DP506" s="12"/>
      <c r="DQ506" s="12"/>
      <c r="DR506" s="12"/>
      <c r="DS506" s="12"/>
      <c r="DT506" s="12"/>
      <c r="DU506" s="12"/>
      <c r="DV506" s="12"/>
      <c r="DW506" s="12"/>
      <c r="DX506" s="12"/>
      <c r="DY506" s="12"/>
      <c r="DZ506" s="12"/>
      <c r="EA506" s="12"/>
      <c r="EB506" s="12"/>
      <c r="EC506" s="12"/>
      <c r="ED506" s="12"/>
      <c r="EE506" s="12"/>
      <c r="EF506" s="12"/>
      <c r="EG506" s="12"/>
      <c r="EH506" s="12"/>
      <c r="EI506" s="12"/>
      <c r="EJ506" s="12"/>
      <c r="EK506" s="12"/>
      <c r="EL506" s="12"/>
      <c r="EM506" s="12"/>
      <c r="EN506" s="12"/>
      <c r="EO506" s="12"/>
      <c r="EP506" s="12"/>
      <c r="EQ506" s="12"/>
      <c r="ER506" s="12"/>
      <c r="ES506" s="12"/>
      <c r="ET506" s="12"/>
      <c r="EU506" s="12"/>
      <c r="EV506" s="12"/>
      <c r="EW506" s="12"/>
      <c r="EX506" s="12"/>
      <c r="EY506" s="12"/>
      <c r="EZ506" s="12"/>
      <c r="FA506" s="12"/>
      <c r="FB506" s="12"/>
      <c r="FC506" s="12"/>
      <c r="FD506" s="12"/>
      <c r="FE506" s="12"/>
      <c r="FF506" s="12"/>
      <c r="FG506" s="12"/>
      <c r="FH506" s="12"/>
      <c r="FI506" s="12"/>
      <c r="FJ506" s="12"/>
      <c r="FK506" s="12"/>
      <c r="FL506" s="12"/>
      <c r="FM506" s="12"/>
      <c r="FN506" s="12"/>
      <c r="FO506" s="12"/>
      <c r="FP506" s="12"/>
    </row>
    <row r="507" spans="1:172" s="69" customFormat="1" ht="15" customHeight="1" x14ac:dyDescent="0.2">
      <c r="A507" s="10" t="s">
        <v>282</v>
      </c>
      <c r="B507" s="9">
        <v>52.2</v>
      </c>
      <c r="C507" s="9">
        <v>56.5</v>
      </c>
      <c r="D507" s="13">
        <v>54.4</v>
      </c>
      <c r="E507" s="9">
        <v>-62.2</v>
      </c>
      <c r="F507" s="9">
        <v>301</v>
      </c>
      <c r="G507" s="34">
        <v>15</v>
      </c>
      <c r="H507" s="9">
        <v>343.4</v>
      </c>
      <c r="I507" s="9">
        <v>-76.900000000000006</v>
      </c>
      <c r="J507" s="9"/>
      <c r="K507" s="9"/>
      <c r="L507" s="13">
        <v>-82.12</v>
      </c>
      <c r="M507" s="13">
        <v>2.61</v>
      </c>
      <c r="N507" s="9">
        <v>8</v>
      </c>
      <c r="O507" s="9">
        <v>14.4</v>
      </c>
      <c r="P507" s="9" t="s">
        <v>1203</v>
      </c>
      <c r="Q507" s="9" t="s">
        <v>1203</v>
      </c>
      <c r="R507" s="30">
        <v>803</v>
      </c>
      <c r="S507" s="13">
        <v>-73.401094856444004</v>
      </c>
      <c r="T507" s="13">
        <v>31.215563936305099</v>
      </c>
      <c r="U507" s="9">
        <v>3.9176665307063199</v>
      </c>
      <c r="V507" s="9">
        <v>-37.838413222172797</v>
      </c>
      <c r="W507" s="9">
        <v>10.3777118865942</v>
      </c>
      <c r="X507" s="7" t="s">
        <v>1202</v>
      </c>
      <c r="Y507" s="10"/>
      <c r="Z507" s="10"/>
      <c r="AA507" s="10" t="b">
        <v>1</v>
      </c>
      <c r="AB507" s="7">
        <v>0</v>
      </c>
      <c r="AC507" s="14" t="s">
        <v>1338</v>
      </c>
      <c r="AD507" s="7"/>
      <c r="AE507" s="7" t="s">
        <v>1369</v>
      </c>
      <c r="AF507" s="10" t="s">
        <v>283</v>
      </c>
      <c r="AG507" s="14"/>
      <c r="AH507" s="10"/>
      <c r="AI507" s="12"/>
      <c r="AJ507" s="3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c r="DB507" s="12"/>
      <c r="DC507" s="12"/>
      <c r="DD507" s="12"/>
      <c r="DE507" s="12"/>
      <c r="DF507" s="12"/>
      <c r="DG507" s="12"/>
      <c r="DH507" s="12"/>
      <c r="DI507" s="12"/>
      <c r="DJ507" s="12"/>
      <c r="DK507" s="12"/>
      <c r="DL507" s="12"/>
      <c r="DM507" s="12"/>
      <c r="DN507" s="12"/>
      <c r="DO507" s="12"/>
      <c r="DP507" s="12"/>
      <c r="DQ507" s="12"/>
      <c r="DR507" s="12"/>
      <c r="DS507" s="12"/>
      <c r="DT507" s="12"/>
      <c r="DU507" s="12"/>
      <c r="DV507" s="12"/>
      <c r="DW507" s="12"/>
      <c r="DX507" s="12"/>
      <c r="DY507" s="12"/>
      <c r="DZ507" s="12"/>
      <c r="EA507" s="12"/>
      <c r="EB507" s="12"/>
      <c r="EC507" s="12"/>
      <c r="ED507" s="12"/>
      <c r="EE507" s="12"/>
      <c r="EF507" s="12"/>
      <c r="EG507" s="12"/>
      <c r="EH507" s="12"/>
      <c r="EI507" s="12"/>
      <c r="EJ507" s="12"/>
      <c r="EK507" s="12"/>
      <c r="EL507" s="12"/>
      <c r="EM507" s="12"/>
      <c r="EN507" s="12"/>
      <c r="EO507" s="12"/>
      <c r="EP507" s="12"/>
      <c r="EQ507" s="12"/>
      <c r="ER507" s="12"/>
      <c r="ES507" s="12"/>
      <c r="ET507" s="12"/>
      <c r="EU507" s="12"/>
      <c r="EV507" s="12"/>
      <c r="EW507" s="12"/>
      <c r="EX507" s="12"/>
      <c r="EY507" s="12"/>
      <c r="EZ507" s="12"/>
      <c r="FA507" s="12"/>
      <c r="FB507" s="12"/>
      <c r="FC507" s="12"/>
      <c r="FD507" s="12"/>
      <c r="FE507" s="12"/>
      <c r="FF507" s="12"/>
      <c r="FG507" s="12"/>
      <c r="FH507" s="12"/>
      <c r="FI507" s="12"/>
      <c r="FJ507" s="12"/>
      <c r="FK507" s="12"/>
      <c r="FL507" s="12"/>
      <c r="FM507" s="12"/>
      <c r="FN507" s="12"/>
      <c r="FO507" s="12"/>
      <c r="FP507" s="12"/>
    </row>
    <row r="508" spans="1:172" s="69" customFormat="1" ht="15" customHeight="1" x14ac:dyDescent="0.2">
      <c r="A508" s="10" t="s">
        <v>332</v>
      </c>
      <c r="B508" s="9">
        <v>56</v>
      </c>
      <c r="C508" s="9">
        <v>66</v>
      </c>
      <c r="D508" s="13">
        <v>61</v>
      </c>
      <c r="E508" s="9">
        <v>-62.41</v>
      </c>
      <c r="F508" s="9">
        <v>300.33</v>
      </c>
      <c r="G508" s="34">
        <v>10</v>
      </c>
      <c r="H508" s="9">
        <v>345.18</v>
      </c>
      <c r="I508" s="9">
        <v>-77.41</v>
      </c>
      <c r="J508" s="9"/>
      <c r="K508" s="9"/>
      <c r="L508" s="13">
        <v>-82.68</v>
      </c>
      <c r="M508" s="13">
        <v>355.2</v>
      </c>
      <c r="N508" s="9">
        <v>19.75</v>
      </c>
      <c r="O508" s="9">
        <v>11.14</v>
      </c>
      <c r="P508" s="9" t="s">
        <v>1203</v>
      </c>
      <c r="Q508" s="9" t="s">
        <v>1203</v>
      </c>
      <c r="R508" s="30">
        <v>803</v>
      </c>
      <c r="S508" s="13">
        <v>-73.409006043016603</v>
      </c>
      <c r="T508" s="13">
        <v>28.040990326762898</v>
      </c>
      <c r="U508" s="9">
        <v>2.0860502542826</v>
      </c>
      <c r="V508" s="9">
        <v>-41.161932983260797</v>
      </c>
      <c r="W508" s="9">
        <v>11.1751402868396</v>
      </c>
      <c r="X508" s="7" t="s">
        <v>1202</v>
      </c>
      <c r="Y508" s="10"/>
      <c r="Z508" s="10"/>
      <c r="AA508" s="10" t="b">
        <v>1</v>
      </c>
      <c r="AB508" s="7">
        <v>0</v>
      </c>
      <c r="AC508" s="14" t="s">
        <v>1206</v>
      </c>
      <c r="AD508" s="7"/>
      <c r="AE508" s="7" t="s">
        <v>1369</v>
      </c>
      <c r="AF508" s="10" t="s">
        <v>333</v>
      </c>
      <c r="AG508" s="14" t="s">
        <v>1215</v>
      </c>
      <c r="AH508" s="10"/>
      <c r="AI508" s="12"/>
      <c r="AJ508" s="3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c r="DK508" s="12"/>
      <c r="DL508" s="12"/>
      <c r="DM508" s="12"/>
      <c r="DN508" s="12"/>
      <c r="DO508" s="12"/>
      <c r="DP508" s="12"/>
      <c r="DQ508" s="12"/>
      <c r="DR508" s="12"/>
      <c r="DS508" s="12"/>
      <c r="DT508" s="12"/>
      <c r="DU508" s="12"/>
      <c r="DV508" s="12"/>
      <c r="DW508" s="12"/>
      <c r="DX508" s="12"/>
      <c r="DY508" s="12"/>
      <c r="DZ508" s="12"/>
      <c r="EA508" s="12"/>
      <c r="EB508" s="12"/>
      <c r="EC508" s="12"/>
      <c r="ED508" s="12"/>
      <c r="EE508" s="12"/>
      <c r="EF508" s="12"/>
      <c r="EG508" s="12"/>
      <c r="EH508" s="12"/>
      <c r="EI508" s="12"/>
      <c r="EJ508" s="12"/>
      <c r="EK508" s="12"/>
      <c r="EL508" s="12"/>
      <c r="EM508" s="12"/>
      <c r="EN508" s="12"/>
      <c r="EO508" s="12"/>
      <c r="EP508" s="12"/>
      <c r="EQ508" s="12"/>
      <c r="ER508" s="12"/>
      <c r="ES508" s="12"/>
      <c r="ET508" s="12"/>
      <c r="EU508" s="12"/>
      <c r="EV508" s="12"/>
      <c r="EW508" s="12"/>
      <c r="EX508" s="12"/>
      <c r="EY508" s="12"/>
      <c r="EZ508" s="12"/>
      <c r="FA508" s="12"/>
      <c r="FB508" s="12"/>
      <c r="FC508" s="12"/>
      <c r="FD508" s="12"/>
      <c r="FE508" s="12"/>
      <c r="FF508" s="12"/>
      <c r="FG508" s="12"/>
      <c r="FH508" s="12"/>
      <c r="FI508" s="12"/>
      <c r="FJ508" s="12"/>
      <c r="FK508" s="12"/>
      <c r="FL508" s="12"/>
      <c r="FM508" s="12"/>
      <c r="FN508" s="12"/>
      <c r="FO508" s="12"/>
      <c r="FP508" s="12"/>
    </row>
    <row r="509" spans="1:172" s="69" customFormat="1" ht="15" customHeight="1" x14ac:dyDescent="0.2">
      <c r="A509" s="56" t="s">
        <v>1438</v>
      </c>
      <c r="B509" s="54">
        <v>66</v>
      </c>
      <c r="C509" s="54">
        <v>100.5</v>
      </c>
      <c r="D509" s="55">
        <v>83.3</v>
      </c>
      <c r="E509" s="54">
        <v>-62.41</v>
      </c>
      <c r="F509" s="54">
        <v>300.33</v>
      </c>
      <c r="G509" s="53">
        <v>10</v>
      </c>
      <c r="H509" s="54">
        <v>3.72</v>
      </c>
      <c r="I509" s="54">
        <v>-73.180000000000007</v>
      </c>
      <c r="J509" s="54"/>
      <c r="K509" s="54"/>
      <c r="L509" s="55">
        <v>-86.03</v>
      </c>
      <c r="M509" s="55">
        <v>149.12</v>
      </c>
      <c r="N509" s="54">
        <v>38.29</v>
      </c>
      <c r="O509" s="54">
        <v>7.47</v>
      </c>
      <c r="P509" s="54" t="s">
        <v>1203</v>
      </c>
      <c r="Q509" s="54" t="s">
        <v>1203</v>
      </c>
      <c r="R509" s="59">
        <v>803</v>
      </c>
      <c r="S509" s="55">
        <v>-72.028870287465907</v>
      </c>
      <c r="T509" s="55">
        <v>63.840787818659003</v>
      </c>
      <c r="U509" s="54">
        <v>-3.4695788960601601</v>
      </c>
      <c r="V509" s="54">
        <v>-38.475602854296099</v>
      </c>
      <c r="W509" s="54">
        <v>18.068868915306101</v>
      </c>
      <c r="X509" s="52" t="s">
        <v>1202</v>
      </c>
      <c r="Y509" s="56"/>
      <c r="Z509" s="56"/>
      <c r="AA509" s="56" t="b">
        <v>1</v>
      </c>
      <c r="AB509" s="52" t="s">
        <v>31</v>
      </c>
      <c r="AC509" s="49" t="s">
        <v>1206</v>
      </c>
      <c r="AD509" s="52"/>
      <c r="AE509" s="52" t="s">
        <v>1369</v>
      </c>
      <c r="AF509" s="56" t="s">
        <v>406</v>
      </c>
      <c r="AG509" s="49"/>
      <c r="AH509" s="56" t="s">
        <v>1361</v>
      </c>
      <c r="AI509" s="12"/>
      <c r="AJ509" s="3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c r="DK509" s="12"/>
      <c r="DL509" s="12"/>
      <c r="DM509" s="12"/>
      <c r="DN509" s="12"/>
      <c r="DO509" s="12"/>
      <c r="DP509" s="12"/>
      <c r="DQ509" s="12"/>
      <c r="DR509" s="12"/>
      <c r="DS509" s="12"/>
      <c r="DT509" s="12"/>
      <c r="DU509" s="12"/>
      <c r="DV509" s="12"/>
      <c r="DW509" s="12"/>
      <c r="DX509" s="12"/>
      <c r="DY509" s="12"/>
      <c r="DZ509" s="12"/>
      <c r="EA509" s="12"/>
      <c r="EB509" s="12"/>
      <c r="EC509" s="12"/>
      <c r="ED509" s="12"/>
      <c r="EE509" s="12"/>
      <c r="EF509" s="12"/>
      <c r="EG509" s="12"/>
      <c r="EH509" s="12"/>
      <c r="EI509" s="12"/>
      <c r="EJ509" s="12"/>
      <c r="EK509" s="12"/>
      <c r="EL509" s="12"/>
      <c r="EM509" s="12"/>
      <c r="EN509" s="12"/>
      <c r="EO509" s="12"/>
      <c r="EP509" s="12"/>
      <c r="EQ509" s="12"/>
      <c r="ER509" s="12"/>
      <c r="ES509" s="12"/>
      <c r="ET509" s="12"/>
      <c r="EU509" s="12"/>
      <c r="EV509" s="12"/>
      <c r="EW509" s="12"/>
      <c r="EX509" s="12"/>
      <c r="EY509" s="12"/>
      <c r="EZ509" s="12"/>
      <c r="FA509" s="12"/>
      <c r="FB509" s="12"/>
      <c r="FC509" s="12"/>
      <c r="FD509" s="12"/>
      <c r="FE509" s="12"/>
      <c r="FF509" s="12"/>
      <c r="FG509" s="12"/>
      <c r="FH509" s="12"/>
      <c r="FI509" s="12"/>
      <c r="FJ509" s="12"/>
      <c r="FK509" s="12"/>
      <c r="FL509" s="12"/>
      <c r="FM509" s="12"/>
      <c r="FN509" s="12"/>
      <c r="FO509" s="12"/>
      <c r="FP509" s="12"/>
    </row>
    <row r="510" spans="1:172" s="57" customFormat="1" ht="15" customHeight="1" x14ac:dyDescent="0.2">
      <c r="A510" s="10" t="s">
        <v>43</v>
      </c>
      <c r="B510" s="28">
        <v>3.0000000000000001E-3</v>
      </c>
      <c r="C510" s="28">
        <v>2.8000000000000001E-2</v>
      </c>
      <c r="D510" s="29">
        <f>AVERAGE(B510,C510)</f>
        <v>1.55E-2</v>
      </c>
      <c r="E510" s="7">
        <v>19.53</v>
      </c>
      <c r="F510" s="7">
        <v>204.76</v>
      </c>
      <c r="G510" s="34">
        <v>8</v>
      </c>
      <c r="H510" s="10"/>
      <c r="I510" s="10"/>
      <c r="J510" s="10"/>
      <c r="K510" s="10"/>
      <c r="L510" s="13">
        <v>-79.772293490605904</v>
      </c>
      <c r="M510" s="13">
        <v>298.38196571408798</v>
      </c>
      <c r="N510" s="9">
        <v>34.366206230905703</v>
      </c>
      <c r="O510" s="9">
        <v>9.5830781291273599</v>
      </c>
      <c r="P510" s="9"/>
      <c r="Q510" s="9"/>
      <c r="R510" s="7">
        <v>901</v>
      </c>
      <c r="S510" s="13">
        <v>-79.771363389225499</v>
      </c>
      <c r="T510" s="13">
        <v>298.43565200186498</v>
      </c>
      <c r="U510" s="9">
        <v>57.9050253502188</v>
      </c>
      <c r="V510" s="9">
        <v>-68.651346681968306</v>
      </c>
      <c r="W510" s="9">
        <v>1.4242248780698699E-2</v>
      </c>
      <c r="X510" s="7" t="s">
        <v>1202</v>
      </c>
      <c r="Y510" s="10"/>
      <c r="Z510" s="7"/>
      <c r="AA510" s="10" t="b">
        <v>1</v>
      </c>
      <c r="AB510" s="7">
        <v>0</v>
      </c>
      <c r="AC510" s="10" t="s">
        <v>44</v>
      </c>
      <c r="AD510" s="7"/>
      <c r="AE510" s="7" t="s">
        <v>32</v>
      </c>
      <c r="AF510" s="10"/>
      <c r="AG510" s="14"/>
      <c r="AH510" s="10"/>
      <c r="AI510"/>
      <c r="AJ510" s="32"/>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c r="EZ510"/>
      <c r="FA510"/>
      <c r="FB510"/>
      <c r="FC510"/>
      <c r="FD510"/>
      <c r="FE510"/>
      <c r="FF510"/>
      <c r="FG510"/>
      <c r="FH510"/>
      <c r="FI510"/>
      <c r="FJ510"/>
      <c r="FK510"/>
      <c r="FL510"/>
      <c r="FM510"/>
      <c r="FN510"/>
      <c r="FO510"/>
      <c r="FP510"/>
    </row>
    <row r="511" spans="1:172" s="57" customFormat="1" ht="15" customHeight="1" x14ac:dyDescent="0.2">
      <c r="A511" s="14" t="s">
        <v>61</v>
      </c>
      <c r="B511" s="28">
        <v>6.0999999999999999E-2</v>
      </c>
      <c r="C511" s="28">
        <v>0.4</v>
      </c>
      <c r="D511" s="29">
        <f>AVERAGE(B511,C511)</f>
        <v>0.23050000000000001</v>
      </c>
      <c r="E511" s="7">
        <v>20.14</v>
      </c>
      <c r="F511" s="7">
        <v>204.18</v>
      </c>
      <c r="G511" s="34">
        <v>10</v>
      </c>
      <c r="H511" s="9"/>
      <c r="I511" s="9"/>
      <c r="J511" s="9"/>
      <c r="K511" s="9"/>
      <c r="L511" s="13">
        <v>-83.578670363740002</v>
      </c>
      <c r="M511" s="13">
        <v>275.36473208418226</v>
      </c>
      <c r="N511" s="9">
        <v>45.856984514347502</v>
      </c>
      <c r="O511" s="9">
        <v>7.2097193273447502</v>
      </c>
      <c r="P511" s="9"/>
      <c r="Q511" s="9"/>
      <c r="R511" s="7">
        <v>901</v>
      </c>
      <c r="S511" s="13">
        <v>-83.608542747657793</v>
      </c>
      <c r="T511" s="13">
        <v>276.51069461691702</v>
      </c>
      <c r="U511" s="9">
        <v>57.896129243806698</v>
      </c>
      <c r="V511" s="9">
        <v>-68.672704332029198</v>
      </c>
      <c r="W511" s="9">
        <v>0.21179601963199299</v>
      </c>
      <c r="X511" s="7" t="s">
        <v>1202</v>
      </c>
      <c r="Y511" s="10"/>
      <c r="Z511" s="7"/>
      <c r="AA511" s="7" t="b">
        <v>1</v>
      </c>
      <c r="AB511" s="7">
        <v>0</v>
      </c>
      <c r="AC511" s="14" t="s">
        <v>62</v>
      </c>
      <c r="AD511" s="7"/>
      <c r="AE511" s="7" t="s">
        <v>32</v>
      </c>
      <c r="AF511" s="10"/>
      <c r="AG511" s="45"/>
      <c r="AH511" s="10"/>
      <c r="AI511"/>
      <c r="AJ511" s="32"/>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c r="EZ511"/>
      <c r="FA511"/>
      <c r="FB511"/>
      <c r="FC511"/>
      <c r="FD511"/>
      <c r="FE511"/>
      <c r="FF511"/>
      <c r="FG511"/>
      <c r="FH511"/>
      <c r="FI511"/>
      <c r="FJ511"/>
      <c r="FK511"/>
      <c r="FL511"/>
      <c r="FM511"/>
      <c r="FN511"/>
      <c r="FO511"/>
      <c r="FP511"/>
    </row>
    <row r="512" spans="1:172" s="57" customFormat="1" ht="15" customHeight="1" x14ac:dyDescent="0.2">
      <c r="A512" s="10" t="s">
        <v>67</v>
      </c>
      <c r="B512" s="28">
        <v>1.4999999999999999E-2</v>
      </c>
      <c r="C512" s="28">
        <v>0.55000000000000004</v>
      </c>
      <c r="D512" s="29">
        <f>AVERAGE(B512,C512)</f>
        <v>0.28250000000000003</v>
      </c>
      <c r="E512" s="7">
        <v>18.78</v>
      </c>
      <c r="F512" s="7">
        <v>249.07</v>
      </c>
      <c r="G512" s="34">
        <v>7</v>
      </c>
      <c r="H512" s="10"/>
      <c r="I512" s="10"/>
      <c r="J512" s="10"/>
      <c r="K512" s="10"/>
      <c r="L512" s="13">
        <v>-85.223559719528694</v>
      </c>
      <c r="M512" s="13">
        <v>357.57364041424199</v>
      </c>
      <c r="N512" s="9">
        <v>13.424009600625499</v>
      </c>
      <c r="O512" s="9">
        <v>17.092225080544502</v>
      </c>
      <c r="P512" s="9"/>
      <c r="Q512" s="9"/>
      <c r="R512" s="7">
        <v>901</v>
      </c>
      <c r="S512" s="13">
        <v>-85.096862714304095</v>
      </c>
      <c r="T512" s="13">
        <v>358.43843297405698</v>
      </c>
      <c r="U512" s="9">
        <v>57.893978828245103</v>
      </c>
      <c r="V512" s="9">
        <v>-68.677870885882797</v>
      </c>
      <c r="W512" s="9">
        <v>0.25957646499569298</v>
      </c>
      <c r="X512" s="7" t="s">
        <v>1202</v>
      </c>
      <c r="Y512" s="10"/>
      <c r="Z512" s="7"/>
      <c r="AA512" s="10" t="b">
        <v>1</v>
      </c>
      <c r="AB512" s="7">
        <v>0</v>
      </c>
      <c r="AC512" s="10" t="s">
        <v>68</v>
      </c>
      <c r="AD512" s="7"/>
      <c r="AE512" s="7" t="s">
        <v>32</v>
      </c>
      <c r="AF512" s="10"/>
      <c r="AG512" s="14"/>
      <c r="AH512" s="10"/>
      <c r="AI512"/>
      <c r="AJ512" s="3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row>
    <row r="513" spans="1:172" s="57" customFormat="1" ht="15" customHeight="1" x14ac:dyDescent="0.2">
      <c r="A513" s="56" t="s">
        <v>69</v>
      </c>
      <c r="B513" s="50">
        <v>1E-3</v>
      </c>
      <c r="C513" s="50">
        <v>0.70299999999999996</v>
      </c>
      <c r="D513" s="51">
        <f>AVERAGE(B513,C513)</f>
        <v>0.35199999999999998</v>
      </c>
      <c r="E513" s="52">
        <v>20.65</v>
      </c>
      <c r="F513" s="52">
        <v>203.66</v>
      </c>
      <c r="G513" s="53">
        <v>12</v>
      </c>
      <c r="H513" s="52"/>
      <c r="I513" s="52"/>
      <c r="J513" s="56"/>
      <c r="K513" s="56"/>
      <c r="L513" s="55">
        <v>-89.162945588912606</v>
      </c>
      <c r="M513" s="55">
        <v>96.300038008405977</v>
      </c>
      <c r="N513" s="54">
        <v>171.012502783738</v>
      </c>
      <c r="O513" s="54">
        <v>3.32852827357496</v>
      </c>
      <c r="P513" s="54"/>
      <c r="Q513" s="54"/>
      <c r="R513" s="52">
        <v>901</v>
      </c>
      <c r="S513" s="55">
        <v>-89.1032770736674</v>
      </c>
      <c r="T513" s="55">
        <v>85.896830038800701</v>
      </c>
      <c r="U513" s="54">
        <v>57.891105445111201</v>
      </c>
      <c r="V513" s="54">
        <v>-68.684776782404199</v>
      </c>
      <c r="W513" s="54">
        <v>0.323436866400858</v>
      </c>
      <c r="X513" s="52" t="s">
        <v>1202</v>
      </c>
      <c r="Y513" s="56"/>
      <c r="Z513" s="52"/>
      <c r="AA513" s="56" t="b">
        <v>0</v>
      </c>
      <c r="AB513" s="52">
        <v>0</v>
      </c>
      <c r="AC513" s="49" t="s">
        <v>70</v>
      </c>
      <c r="AD513" s="52"/>
      <c r="AE513" s="52" t="s">
        <v>32</v>
      </c>
      <c r="AF513" s="56"/>
      <c r="AG513" s="49"/>
      <c r="AH513" s="56"/>
      <c r="AI513"/>
      <c r="AJ513" s="32"/>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c r="EZ513"/>
      <c r="FA513"/>
      <c r="FB513"/>
      <c r="FC513"/>
      <c r="FD513"/>
      <c r="FE513"/>
      <c r="FF513"/>
      <c r="FG513"/>
      <c r="FH513"/>
      <c r="FI513"/>
      <c r="FJ513"/>
      <c r="FK513"/>
      <c r="FL513"/>
      <c r="FM513"/>
      <c r="FN513"/>
      <c r="FO513"/>
      <c r="FP513"/>
    </row>
    <row r="514" spans="1:172" s="57" customFormat="1" ht="15" customHeight="1" x14ac:dyDescent="0.2">
      <c r="A514" s="10" t="s">
        <v>71</v>
      </c>
      <c r="B514" s="28">
        <v>3.3000000000000002E-2</v>
      </c>
      <c r="C514" s="28">
        <v>0.67700000000000005</v>
      </c>
      <c r="D514" s="29">
        <f>AVERAGE(B514,C514)</f>
        <v>0.35500000000000004</v>
      </c>
      <c r="E514" s="7">
        <v>21.31</v>
      </c>
      <c r="F514" s="7">
        <v>202.21</v>
      </c>
      <c r="G514" s="34">
        <v>14</v>
      </c>
      <c r="H514" s="7"/>
      <c r="I514" s="7"/>
      <c r="J514" s="10"/>
      <c r="K514" s="10"/>
      <c r="L514" s="13">
        <v>-88.070317231822401</v>
      </c>
      <c r="M514" s="13">
        <v>269.14871685590759</v>
      </c>
      <c r="N514" s="9">
        <v>44.813264664795199</v>
      </c>
      <c r="O514" s="9">
        <v>6.0029855104619898</v>
      </c>
      <c r="P514" s="9"/>
      <c r="Q514" s="9"/>
      <c r="R514" s="7">
        <v>901</v>
      </c>
      <c r="S514" s="13">
        <v>-88.128434524209396</v>
      </c>
      <c r="T514" s="13">
        <v>274.34966114748602</v>
      </c>
      <c r="U514" s="9">
        <v>57.890981432982798</v>
      </c>
      <c r="V514" s="9">
        <v>-68.685074894083399</v>
      </c>
      <c r="W514" s="9">
        <v>0.326193430445125</v>
      </c>
      <c r="X514" s="7" t="s">
        <v>1202</v>
      </c>
      <c r="Y514" s="10"/>
      <c r="Z514" s="7"/>
      <c r="AA514" s="10" t="b">
        <v>1</v>
      </c>
      <c r="AB514" s="7">
        <v>0</v>
      </c>
      <c r="AC514" s="14" t="s">
        <v>72</v>
      </c>
      <c r="AD514" s="7"/>
      <c r="AE514" s="7" t="s">
        <v>32</v>
      </c>
      <c r="AF514" s="10"/>
      <c r="AG514" s="14"/>
      <c r="AH514" s="10"/>
      <c r="AI514"/>
      <c r="AJ514" s="32"/>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row>
    <row r="515" spans="1:172" s="57" customFormat="1" ht="15" customHeight="1" x14ac:dyDescent="0.2">
      <c r="A515" s="10" t="s">
        <v>89</v>
      </c>
      <c r="B515" s="28">
        <v>0.86</v>
      </c>
      <c r="C515" s="28">
        <v>1.1200000000000001</v>
      </c>
      <c r="D515" s="29">
        <f>AVERAGE(B515,C515)</f>
        <v>0.99</v>
      </c>
      <c r="E515" s="7">
        <v>20.81</v>
      </c>
      <c r="F515" s="7">
        <v>203.08</v>
      </c>
      <c r="G515" s="34">
        <v>7</v>
      </c>
      <c r="H515" s="7"/>
      <c r="I515" s="7"/>
      <c r="J515" s="10"/>
      <c r="K515" s="10"/>
      <c r="L515" s="13">
        <v>-83.789315816463599</v>
      </c>
      <c r="M515" s="13">
        <v>323.288833443903</v>
      </c>
      <c r="N515" s="9">
        <v>9.0897919360608004</v>
      </c>
      <c r="O515" s="9">
        <v>21.159308563439801</v>
      </c>
      <c r="P515" s="9"/>
      <c r="Q515" s="9"/>
      <c r="R515" s="7">
        <v>901</v>
      </c>
      <c r="S515" s="13">
        <v>-83.523153388449401</v>
      </c>
      <c r="T515" s="13">
        <v>327.621109314487</v>
      </c>
      <c r="U515" s="9">
        <v>57.985347377013099</v>
      </c>
      <c r="V515" s="9">
        <v>-68.394984918458206</v>
      </c>
      <c r="W515" s="9">
        <v>0.90090602140602005</v>
      </c>
      <c r="X515" s="7" t="s">
        <v>1202</v>
      </c>
      <c r="Y515" s="10"/>
      <c r="Z515" s="7"/>
      <c r="AA515" s="10" t="b">
        <v>1</v>
      </c>
      <c r="AB515" s="7">
        <v>0</v>
      </c>
      <c r="AC515" s="14" t="s">
        <v>90</v>
      </c>
      <c r="AD515" s="7"/>
      <c r="AE515" s="7" t="s">
        <v>32</v>
      </c>
      <c r="AF515" s="10"/>
      <c r="AG515" s="14"/>
      <c r="AH515" s="10"/>
      <c r="AI515"/>
      <c r="AJ515" s="32"/>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c r="EZ515"/>
      <c r="FA515"/>
      <c r="FB515"/>
      <c r="FC515"/>
      <c r="FD515"/>
      <c r="FE515"/>
      <c r="FF515"/>
      <c r="FG515"/>
      <c r="FH515"/>
      <c r="FI515"/>
      <c r="FJ515"/>
      <c r="FK515"/>
      <c r="FL515"/>
      <c r="FM515"/>
      <c r="FN515"/>
      <c r="FO515"/>
      <c r="FP515"/>
    </row>
    <row r="516" spans="1:172" s="57" customFormat="1" ht="15" customHeight="1" x14ac:dyDescent="0.2">
      <c r="A516" s="10" t="s">
        <v>109</v>
      </c>
      <c r="B516" s="28">
        <v>1.8</v>
      </c>
      <c r="C516" s="28">
        <v>2.6</v>
      </c>
      <c r="D516" s="29">
        <f>AVERAGE(B516,C516)</f>
        <v>2.2000000000000002</v>
      </c>
      <c r="E516" s="7">
        <v>21.32</v>
      </c>
      <c r="F516" s="7">
        <v>202.2</v>
      </c>
      <c r="G516" s="34">
        <v>9</v>
      </c>
      <c r="H516" s="7"/>
      <c r="I516" s="7"/>
      <c r="J516" s="10"/>
      <c r="K516" s="10"/>
      <c r="L516" s="13">
        <v>-84.987189096204503</v>
      </c>
      <c r="M516" s="13">
        <v>240.08635034251631</v>
      </c>
      <c r="N516" s="9">
        <v>47.7452891438355</v>
      </c>
      <c r="O516" s="9">
        <v>7.52697015703483</v>
      </c>
      <c r="P516" s="9"/>
      <c r="Q516" s="9"/>
      <c r="R516" s="7">
        <v>901</v>
      </c>
      <c r="S516" s="13">
        <v>-85.742213367912001</v>
      </c>
      <c r="T516" s="13">
        <v>250.39095716552899</v>
      </c>
      <c r="U516" s="9">
        <v>58.240312704148998</v>
      </c>
      <c r="V516" s="9">
        <v>-67.682856435811203</v>
      </c>
      <c r="W516" s="9">
        <v>1.95331184461084</v>
      </c>
      <c r="X516" s="7" t="s">
        <v>1202</v>
      </c>
      <c r="Y516" s="10"/>
      <c r="Z516" s="7"/>
      <c r="AA516" s="10" t="b">
        <v>1</v>
      </c>
      <c r="AB516" s="7">
        <v>0</v>
      </c>
      <c r="AC516" s="14" t="s">
        <v>110</v>
      </c>
      <c r="AD516" s="7"/>
      <c r="AE516" s="7" t="s">
        <v>32</v>
      </c>
      <c r="AF516" s="10"/>
      <c r="AG516" s="14"/>
      <c r="AH516" s="10"/>
      <c r="AI516"/>
      <c r="AJ516" s="32"/>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row>
    <row r="517" spans="1:172" s="57" customFormat="1" ht="15" customHeight="1" x14ac:dyDescent="0.2">
      <c r="A517" s="10" t="s">
        <v>115</v>
      </c>
      <c r="B517" s="28">
        <v>0.90500000000000003</v>
      </c>
      <c r="C517" s="28">
        <v>4.21</v>
      </c>
      <c r="D517" s="29">
        <f>AVERAGE(B517,C517)</f>
        <v>2.5575000000000001</v>
      </c>
      <c r="E517" s="7">
        <v>-16.93</v>
      </c>
      <c r="F517" s="7">
        <v>208.99</v>
      </c>
      <c r="G517" s="34">
        <v>123</v>
      </c>
      <c r="H517" s="10"/>
      <c r="I517" s="10"/>
      <c r="J517" s="10"/>
      <c r="K517" s="10"/>
      <c r="L517" s="13">
        <v>-86.631700622505804</v>
      </c>
      <c r="M517" s="13">
        <v>174.53673084250403</v>
      </c>
      <c r="N517" s="9">
        <v>16.8740498380809</v>
      </c>
      <c r="O517" s="9">
        <v>3.1930757465207802</v>
      </c>
      <c r="P517" s="9"/>
      <c r="Q517" s="9"/>
      <c r="R517" s="7">
        <v>901</v>
      </c>
      <c r="S517" s="13">
        <v>-87.627123098668505</v>
      </c>
      <c r="T517" s="13">
        <v>163.383285463064</v>
      </c>
      <c r="U517" s="9">
        <v>58.309025511788398</v>
      </c>
      <c r="V517" s="9">
        <v>-67.557449041312907</v>
      </c>
      <c r="W517" s="9">
        <v>2.2571361035327602</v>
      </c>
      <c r="X517" s="7" t="s">
        <v>1202</v>
      </c>
      <c r="Y517" s="10"/>
      <c r="Z517" s="7"/>
      <c r="AA517" s="10" t="b">
        <v>1</v>
      </c>
      <c r="AB517" s="7">
        <v>0</v>
      </c>
      <c r="AC517" s="10" t="s">
        <v>116</v>
      </c>
      <c r="AD517" s="7"/>
      <c r="AE517" s="7" t="s">
        <v>32</v>
      </c>
      <c r="AF517" s="10"/>
      <c r="AG517" s="14"/>
      <c r="AH517" s="10"/>
      <c r="AI517"/>
      <c r="AJ517" s="32"/>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row>
    <row r="518" spans="1:172" s="81" customFormat="1" ht="15" customHeight="1" x14ac:dyDescent="0.2">
      <c r="A518" s="10" t="s">
        <v>123</v>
      </c>
      <c r="B518" s="28">
        <v>3.1</v>
      </c>
      <c r="C518" s="28">
        <v>3.19</v>
      </c>
      <c r="D518" s="29">
        <f>AVERAGE(B518,C518)</f>
        <v>3.145</v>
      </c>
      <c r="E518" s="7">
        <v>21.56</v>
      </c>
      <c r="F518" s="7">
        <v>201.75</v>
      </c>
      <c r="G518" s="34">
        <v>98</v>
      </c>
      <c r="H518" s="10"/>
      <c r="I518" s="10"/>
      <c r="J518" s="10"/>
      <c r="K518" s="10"/>
      <c r="L518" s="13">
        <v>-81.422999450080795</v>
      </c>
      <c r="M518" s="13">
        <v>181.65522585798868</v>
      </c>
      <c r="N518" s="9">
        <v>52.609470567695503</v>
      </c>
      <c r="O518" s="9">
        <v>1.9872478181165101</v>
      </c>
      <c r="P518" s="9"/>
      <c r="Q518" s="9"/>
      <c r="R518" s="7">
        <v>901</v>
      </c>
      <c r="S518" s="13">
        <v>-82.762992018877995</v>
      </c>
      <c r="T518" s="13">
        <v>180.17557130641401</v>
      </c>
      <c r="U518" s="9">
        <v>58.709951965418902</v>
      </c>
      <c r="V518" s="9">
        <v>-67.309974888616495</v>
      </c>
      <c r="W518" s="9">
        <v>2.7768677443537202</v>
      </c>
      <c r="X518" s="7" t="s">
        <v>1202</v>
      </c>
      <c r="Y518" s="10"/>
      <c r="Z518" s="7"/>
      <c r="AA518" s="10" t="b">
        <v>1</v>
      </c>
      <c r="AB518" s="7">
        <v>0</v>
      </c>
      <c r="AC518" s="14" t="s">
        <v>124</v>
      </c>
      <c r="AD518" s="7"/>
      <c r="AE518" s="7" t="s">
        <v>32</v>
      </c>
      <c r="AF518" s="10"/>
      <c r="AG518" s="14"/>
      <c r="AH518" s="10"/>
      <c r="AI518" s="36"/>
      <c r="AJ518" s="32"/>
      <c r="AK518" s="36"/>
      <c r="AL518" s="36"/>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36"/>
      <c r="BR518" s="36"/>
      <c r="BS518" s="36"/>
      <c r="BT518" s="36"/>
      <c r="BU518" s="36"/>
      <c r="BV518" s="36"/>
      <c r="BW518" s="36"/>
      <c r="BX518" s="36"/>
      <c r="BY518" s="36"/>
      <c r="BZ518" s="36"/>
      <c r="CA518" s="36"/>
      <c r="CB518" s="36"/>
      <c r="CC518" s="36"/>
      <c r="CD518" s="36"/>
      <c r="CE518" s="36"/>
      <c r="CF518" s="36"/>
      <c r="CG518" s="36"/>
      <c r="CH518" s="36"/>
      <c r="CI518" s="36"/>
      <c r="CJ518" s="36"/>
      <c r="CK518" s="36"/>
      <c r="CL518" s="36"/>
      <c r="CM518" s="36"/>
      <c r="CN518" s="36"/>
      <c r="CO518" s="36"/>
      <c r="CP518" s="36"/>
      <c r="CQ518" s="36"/>
      <c r="CR518" s="36"/>
      <c r="CS518" s="36"/>
      <c r="CT518" s="36"/>
      <c r="CU518" s="36"/>
      <c r="CV518" s="36"/>
      <c r="CW518" s="36"/>
      <c r="CX518" s="36"/>
      <c r="CY518" s="36"/>
      <c r="CZ518" s="36"/>
      <c r="DA518" s="36"/>
      <c r="DB518" s="36"/>
      <c r="DC518" s="36"/>
      <c r="DD518" s="36"/>
      <c r="DE518" s="36"/>
      <c r="DF518" s="36"/>
      <c r="DG518" s="36"/>
      <c r="DH518" s="36"/>
      <c r="DI518" s="36"/>
      <c r="DJ518" s="36"/>
      <c r="DK518" s="36"/>
      <c r="DL518" s="36"/>
      <c r="DM518" s="36"/>
      <c r="DN518" s="36"/>
      <c r="DO518" s="36"/>
      <c r="DP518" s="36"/>
      <c r="DQ518" s="36"/>
      <c r="DR518" s="36"/>
      <c r="DS518" s="36"/>
      <c r="DT518" s="36"/>
      <c r="DU518" s="36"/>
      <c r="DV518" s="36"/>
      <c r="DW518" s="36"/>
      <c r="DX518" s="36"/>
      <c r="DY518" s="36"/>
      <c r="DZ518" s="36"/>
      <c r="EA518" s="36"/>
      <c r="EB518" s="36"/>
      <c r="EC518" s="36"/>
      <c r="ED518" s="36"/>
      <c r="EE518" s="36"/>
      <c r="EF518" s="36"/>
      <c r="EG518" s="36"/>
      <c r="EH518" s="36"/>
      <c r="EI518" s="36"/>
      <c r="EJ518" s="36"/>
      <c r="EK518" s="36"/>
      <c r="EL518" s="36"/>
      <c r="EM518" s="36"/>
      <c r="EN518" s="36"/>
      <c r="EO518" s="36"/>
      <c r="EP518" s="36"/>
      <c r="EQ518" s="36"/>
      <c r="ER518" s="36"/>
      <c r="ES518" s="36"/>
      <c r="ET518" s="36"/>
      <c r="EU518" s="36"/>
      <c r="EV518" s="36"/>
      <c r="EW518" s="36"/>
      <c r="EX518" s="36"/>
      <c r="EY518" s="36"/>
      <c r="EZ518" s="36"/>
      <c r="FA518" s="36"/>
      <c r="FB518" s="36"/>
      <c r="FC518" s="36"/>
      <c r="FD518" s="36"/>
      <c r="FE518" s="36"/>
      <c r="FF518" s="36"/>
      <c r="FG518" s="36"/>
      <c r="FH518" s="36"/>
      <c r="FI518" s="36"/>
      <c r="FJ518" s="36"/>
      <c r="FK518" s="36"/>
      <c r="FL518" s="36"/>
      <c r="FM518" s="36"/>
      <c r="FN518" s="36"/>
      <c r="FO518" s="36"/>
      <c r="FP518" s="36"/>
    </row>
    <row r="519" spans="1:172" s="81" customFormat="1" ht="15" customHeight="1" x14ac:dyDescent="0.2">
      <c r="A519" s="10" t="s">
        <v>59</v>
      </c>
      <c r="B519" s="28">
        <v>0.06</v>
      </c>
      <c r="C519" s="28">
        <v>0.4</v>
      </c>
      <c r="D519" s="29">
        <f>AVERAGE(B519,C519)</f>
        <v>0.23</v>
      </c>
      <c r="E519" s="28">
        <v>-27.1</v>
      </c>
      <c r="F519" s="7">
        <v>250.67</v>
      </c>
      <c r="G519" s="34">
        <v>27</v>
      </c>
      <c r="H519" s="10"/>
      <c r="I519" s="10"/>
      <c r="J519" s="10"/>
      <c r="K519" s="10"/>
      <c r="L519" s="13">
        <v>-86.983361608711604</v>
      </c>
      <c r="M519" s="13">
        <v>1.4865045481670052</v>
      </c>
      <c r="N519" s="9">
        <v>46.315918301688001</v>
      </c>
      <c r="O519" s="9">
        <v>4.1269418025182203</v>
      </c>
      <c r="P519" s="9"/>
      <c r="Q519" s="9"/>
      <c r="R519" s="7">
        <v>911</v>
      </c>
      <c r="S519" s="13">
        <v>-87.040916407315393</v>
      </c>
      <c r="T519" s="13">
        <v>2.2678914007531401</v>
      </c>
      <c r="U519" s="9">
        <v>-54.928008139931499</v>
      </c>
      <c r="V519" s="9">
        <v>53.076814924101399</v>
      </c>
      <c r="W519" s="9">
        <v>0.128521413740218</v>
      </c>
      <c r="X519" s="7" t="s">
        <v>1202</v>
      </c>
      <c r="Y519" s="10"/>
      <c r="Z519" s="7"/>
      <c r="AA519" s="10" t="b">
        <v>1</v>
      </c>
      <c r="AB519" s="7">
        <v>0</v>
      </c>
      <c r="AC519" s="10" t="s">
        <v>60</v>
      </c>
      <c r="AD519" s="7"/>
      <c r="AE519" s="7" t="s">
        <v>32</v>
      </c>
      <c r="AF519" s="10"/>
      <c r="AG519" s="14"/>
      <c r="AH519" s="10"/>
      <c r="AI519" s="36"/>
      <c r="AJ519" s="32"/>
      <c r="AK519" s="36"/>
      <c r="AL519" s="36"/>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36"/>
      <c r="BR519" s="36"/>
      <c r="BS519" s="36"/>
      <c r="BT519" s="36"/>
      <c r="BU519" s="36"/>
      <c r="BV519" s="36"/>
      <c r="BW519" s="36"/>
      <c r="BX519" s="36"/>
      <c r="BY519" s="36"/>
      <c r="BZ519" s="36"/>
      <c r="CA519" s="36"/>
      <c r="CB519" s="36"/>
      <c r="CC519" s="36"/>
      <c r="CD519" s="36"/>
      <c r="CE519" s="36"/>
      <c r="CF519" s="36"/>
      <c r="CG519" s="36"/>
      <c r="CH519" s="36"/>
      <c r="CI519" s="36"/>
      <c r="CJ519" s="36"/>
      <c r="CK519" s="36"/>
      <c r="CL519" s="36"/>
      <c r="CM519" s="36"/>
      <c r="CN519" s="36"/>
      <c r="CO519" s="36"/>
      <c r="CP519" s="36"/>
      <c r="CQ519" s="36"/>
      <c r="CR519" s="36"/>
      <c r="CS519" s="36"/>
      <c r="CT519" s="36"/>
      <c r="CU519" s="36"/>
      <c r="CV519" s="36"/>
      <c r="CW519" s="36"/>
      <c r="CX519" s="36"/>
      <c r="CY519" s="36"/>
      <c r="CZ519" s="36"/>
      <c r="DA519" s="36"/>
      <c r="DB519" s="36"/>
      <c r="DC519" s="36"/>
      <c r="DD519" s="36"/>
      <c r="DE519" s="36"/>
      <c r="DF519" s="36"/>
      <c r="DG519" s="36"/>
      <c r="DH519" s="36"/>
      <c r="DI519" s="36"/>
      <c r="DJ519" s="36"/>
      <c r="DK519" s="36"/>
      <c r="DL519" s="36"/>
      <c r="DM519" s="36"/>
      <c r="DN519" s="36"/>
      <c r="DO519" s="36"/>
      <c r="DP519" s="36"/>
      <c r="DQ519" s="36"/>
      <c r="DR519" s="36"/>
      <c r="DS519" s="36"/>
      <c r="DT519" s="36"/>
      <c r="DU519" s="36"/>
      <c r="DV519" s="36"/>
      <c r="DW519" s="36"/>
      <c r="DX519" s="36"/>
      <c r="DY519" s="36"/>
      <c r="DZ519" s="36"/>
      <c r="EA519" s="36"/>
      <c r="EB519" s="36"/>
      <c r="EC519" s="36"/>
      <c r="ED519" s="36"/>
      <c r="EE519" s="36"/>
      <c r="EF519" s="36"/>
      <c r="EG519" s="36"/>
      <c r="EH519" s="36"/>
      <c r="EI519" s="36"/>
      <c r="EJ519" s="36"/>
      <c r="EK519" s="36"/>
      <c r="EL519" s="36"/>
      <c r="EM519" s="36"/>
      <c r="EN519" s="36"/>
      <c r="EO519" s="36"/>
      <c r="EP519" s="36"/>
      <c r="EQ519" s="36"/>
      <c r="ER519" s="36"/>
      <c r="ES519" s="36"/>
      <c r="ET519" s="36"/>
      <c r="EU519" s="36"/>
      <c r="EV519" s="36"/>
      <c r="EW519" s="36"/>
      <c r="EX519" s="36"/>
      <c r="EY519" s="36"/>
      <c r="EZ519" s="36"/>
      <c r="FA519" s="36"/>
      <c r="FB519" s="36"/>
      <c r="FC519" s="36"/>
      <c r="FD519" s="36"/>
      <c r="FE519" s="36"/>
      <c r="FF519" s="36"/>
      <c r="FG519" s="36"/>
      <c r="FH519" s="36"/>
      <c r="FI519" s="36"/>
      <c r="FJ519" s="36"/>
      <c r="FK519" s="36"/>
      <c r="FL519" s="36"/>
      <c r="FM519" s="36"/>
      <c r="FN519" s="36"/>
      <c r="FO519" s="36"/>
      <c r="FP519" s="36"/>
    </row>
    <row r="520" spans="1:172" s="81" customFormat="1" ht="15" customHeight="1" x14ac:dyDescent="0.2">
      <c r="A520" s="10" t="s">
        <v>103</v>
      </c>
      <c r="B520" s="28">
        <v>0</v>
      </c>
      <c r="C520" s="28">
        <v>3</v>
      </c>
      <c r="D520" s="29">
        <f>AVERAGE(B520,C520)</f>
        <v>1.5</v>
      </c>
      <c r="E520" s="7">
        <v>20.95</v>
      </c>
      <c r="F520" s="7">
        <v>269.94</v>
      </c>
      <c r="G520" s="34">
        <v>53</v>
      </c>
      <c r="H520" s="10"/>
      <c r="I520" s="10"/>
      <c r="J520" s="10"/>
      <c r="K520" s="10"/>
      <c r="L520" s="13">
        <v>-86.808842949040198</v>
      </c>
      <c r="M520" s="13">
        <v>71.609784766822003</v>
      </c>
      <c r="N520" s="9">
        <v>30.4442777076361</v>
      </c>
      <c r="O520" s="9">
        <v>3.6013730800336301</v>
      </c>
      <c r="P520" s="9"/>
      <c r="Q520" s="9"/>
      <c r="R520" s="7">
        <v>911</v>
      </c>
      <c r="S520" s="13">
        <v>-86.631702327997999</v>
      </c>
      <c r="T520" s="13">
        <v>79.116152940332796</v>
      </c>
      <c r="U520" s="9">
        <v>-54.562322212558797</v>
      </c>
      <c r="V520" s="9">
        <v>54.7681076229902</v>
      </c>
      <c r="W520" s="9">
        <v>0.86629872559965404</v>
      </c>
      <c r="X520" s="7" t="s">
        <v>1202</v>
      </c>
      <c r="Y520" s="10"/>
      <c r="Z520" s="7"/>
      <c r="AA520" s="10" t="b">
        <v>1</v>
      </c>
      <c r="AB520" s="7">
        <v>0</v>
      </c>
      <c r="AC520" s="10" t="s">
        <v>104</v>
      </c>
      <c r="AD520" s="7"/>
      <c r="AE520" s="7" t="s">
        <v>32</v>
      </c>
      <c r="AF520" s="10"/>
      <c r="AG520" s="14"/>
      <c r="AH520" s="10"/>
      <c r="AI520" s="36"/>
      <c r="AJ520" s="32"/>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c r="BR520" s="36"/>
      <c r="BS520" s="36"/>
      <c r="BT520" s="36"/>
      <c r="BU520" s="36"/>
      <c r="BV520" s="36"/>
      <c r="BW520" s="36"/>
      <c r="BX520" s="36"/>
      <c r="BY520" s="36"/>
      <c r="BZ520" s="36"/>
      <c r="CA520" s="36"/>
      <c r="CB520" s="36"/>
      <c r="CC520" s="36"/>
      <c r="CD520" s="36"/>
      <c r="CE520" s="36"/>
      <c r="CF520" s="36"/>
      <c r="CG520" s="36"/>
      <c r="CH520" s="36"/>
      <c r="CI520" s="36"/>
      <c r="CJ520" s="36"/>
      <c r="CK520" s="36"/>
      <c r="CL520" s="36"/>
      <c r="CM520" s="36"/>
      <c r="CN520" s="36"/>
      <c r="CO520" s="36"/>
      <c r="CP520" s="36"/>
      <c r="CQ520" s="36"/>
      <c r="CR520" s="36"/>
      <c r="CS520" s="36"/>
      <c r="CT520" s="36"/>
      <c r="CU520" s="36"/>
      <c r="CV520" s="36"/>
      <c r="CW520" s="36"/>
      <c r="CX520" s="36"/>
      <c r="CY520" s="36"/>
      <c r="CZ520" s="36"/>
      <c r="DA520" s="36"/>
      <c r="DB520" s="36"/>
      <c r="DC520" s="36"/>
      <c r="DD520" s="36"/>
      <c r="DE520" s="36"/>
      <c r="DF520" s="36"/>
      <c r="DG520" s="36"/>
      <c r="DH520" s="36"/>
      <c r="DI520" s="36"/>
      <c r="DJ520" s="36"/>
      <c r="DK520" s="36"/>
      <c r="DL520" s="36"/>
      <c r="DM520" s="36"/>
      <c r="DN520" s="36"/>
      <c r="DO520" s="36"/>
      <c r="DP520" s="36"/>
      <c r="DQ520" s="36"/>
      <c r="DR520" s="36"/>
      <c r="DS520" s="36"/>
      <c r="DT520" s="36"/>
      <c r="DU520" s="36"/>
      <c r="DV520" s="36"/>
      <c r="DW520" s="36"/>
      <c r="DX520" s="36"/>
      <c r="DY520" s="36"/>
      <c r="DZ520" s="36"/>
      <c r="EA520" s="36"/>
      <c r="EB520" s="36"/>
      <c r="EC520" s="36"/>
      <c r="ED520" s="36"/>
      <c r="EE520" s="36"/>
      <c r="EF520" s="36"/>
      <c r="EG520" s="36"/>
      <c r="EH520" s="36"/>
      <c r="EI520" s="36"/>
      <c r="EJ520" s="36"/>
      <c r="EK520" s="36"/>
      <c r="EL520" s="36"/>
      <c r="EM520" s="36"/>
      <c r="EN520" s="36"/>
      <c r="EO520" s="36"/>
      <c r="EP520" s="36"/>
      <c r="EQ520" s="36"/>
      <c r="ER520" s="36"/>
      <c r="ES520" s="36"/>
      <c r="ET520" s="36"/>
      <c r="EU520" s="36"/>
      <c r="EV520" s="36"/>
      <c r="EW520" s="36"/>
      <c r="EX520" s="36"/>
      <c r="EY520" s="36"/>
      <c r="EZ520" s="36"/>
      <c r="FA520" s="36"/>
      <c r="FB520" s="36"/>
      <c r="FC520" s="36"/>
      <c r="FD520" s="36"/>
      <c r="FE520" s="36"/>
      <c r="FF520" s="36"/>
      <c r="FG520" s="36"/>
      <c r="FH520" s="36"/>
      <c r="FI520" s="36"/>
      <c r="FJ520" s="36"/>
      <c r="FK520" s="36"/>
      <c r="FL520" s="36"/>
      <c r="FM520" s="36"/>
      <c r="FN520" s="36"/>
      <c r="FO520" s="36"/>
      <c r="FP520" s="36"/>
    </row>
    <row r="521" spans="1:172" s="81" customFormat="1" ht="15" customHeight="1" x14ac:dyDescent="0.2">
      <c r="A521" s="10" t="s">
        <v>79</v>
      </c>
      <c r="B521" s="28">
        <v>4.7E-2</v>
      </c>
      <c r="C521" s="28">
        <v>1.02</v>
      </c>
      <c r="D521" s="29">
        <f>AVERAGE(B521,C521)</f>
        <v>0.53349999999999997</v>
      </c>
      <c r="E521" s="7">
        <v>16.03</v>
      </c>
      <c r="F521" s="7">
        <v>298.32</v>
      </c>
      <c r="G521" s="34">
        <v>23</v>
      </c>
      <c r="H521" s="9"/>
      <c r="I521" s="9"/>
      <c r="J521" s="9"/>
      <c r="K521" s="9"/>
      <c r="L521" s="13">
        <v>-89.423783664960197</v>
      </c>
      <c r="M521" s="13">
        <v>290.58986912519003</v>
      </c>
      <c r="N521" s="9">
        <v>49.752729399233999</v>
      </c>
      <c r="O521" s="9">
        <v>4.3339898661177303</v>
      </c>
      <c r="P521" s="9"/>
      <c r="Q521" s="9"/>
      <c r="R521" s="30">
        <v>2007</v>
      </c>
      <c r="S521" s="13">
        <v>-89.455454220761894</v>
      </c>
      <c r="T521" s="13">
        <v>292.80280442836499</v>
      </c>
      <c r="U521" s="9">
        <v>54.9233028433367</v>
      </c>
      <c r="V521" s="9">
        <v>-11.997467758646501</v>
      </c>
      <c r="W521" s="9">
        <v>6.6225852101468002E-2</v>
      </c>
      <c r="X521" s="7" t="s">
        <v>1202</v>
      </c>
      <c r="Y521" s="7"/>
      <c r="Z521" s="7"/>
      <c r="AA521" s="7" t="b">
        <v>1</v>
      </c>
      <c r="AB521" s="7">
        <v>0</v>
      </c>
      <c r="AC521" s="10" t="s">
        <v>80</v>
      </c>
      <c r="AD521" s="7"/>
      <c r="AE521" s="7" t="s">
        <v>32</v>
      </c>
      <c r="AF521" s="10"/>
      <c r="AG521" s="14"/>
      <c r="AH521" s="10"/>
      <c r="AI521" s="36"/>
      <c r="AJ521" s="32"/>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c r="BR521" s="36"/>
      <c r="BS521" s="36"/>
      <c r="BT521" s="36"/>
      <c r="BU521" s="36"/>
      <c r="BV521" s="36"/>
      <c r="BW521" s="36"/>
      <c r="BX521" s="36"/>
      <c r="BY521" s="36"/>
      <c r="BZ521" s="36"/>
      <c r="CA521" s="36"/>
      <c r="CB521" s="36"/>
      <c r="CC521" s="36"/>
      <c r="CD521" s="36"/>
      <c r="CE521" s="36"/>
      <c r="CF521" s="36"/>
      <c r="CG521" s="36"/>
      <c r="CH521" s="36"/>
      <c r="CI521" s="36"/>
      <c r="CJ521" s="36"/>
      <c r="CK521" s="36"/>
      <c r="CL521" s="36"/>
      <c r="CM521" s="36"/>
      <c r="CN521" s="36"/>
      <c r="CO521" s="36"/>
      <c r="CP521" s="36"/>
      <c r="CQ521" s="36"/>
      <c r="CR521" s="36"/>
      <c r="CS521" s="36"/>
      <c r="CT521" s="36"/>
      <c r="CU521" s="36"/>
      <c r="CV521" s="36"/>
      <c r="CW521" s="36"/>
      <c r="CX521" s="36"/>
      <c r="CY521" s="36"/>
      <c r="CZ521" s="36"/>
      <c r="DA521" s="36"/>
      <c r="DB521" s="36"/>
      <c r="DC521" s="36"/>
      <c r="DD521" s="36"/>
      <c r="DE521" s="36"/>
      <c r="DF521" s="36"/>
      <c r="DG521" s="36"/>
      <c r="DH521" s="36"/>
      <c r="DI521" s="36"/>
      <c r="DJ521" s="36"/>
      <c r="DK521" s="36"/>
      <c r="DL521" s="36"/>
      <c r="DM521" s="36"/>
      <c r="DN521" s="36"/>
      <c r="DO521" s="36"/>
      <c r="DP521" s="36"/>
      <c r="DQ521" s="36"/>
      <c r="DR521" s="36"/>
      <c r="DS521" s="36"/>
      <c r="DT521" s="36"/>
      <c r="DU521" s="36"/>
      <c r="DV521" s="36"/>
      <c r="DW521" s="36"/>
      <c r="DX521" s="36"/>
      <c r="DY521" s="36"/>
      <c r="DZ521" s="36"/>
      <c r="EA521" s="36"/>
      <c r="EB521" s="36"/>
      <c r="EC521" s="36"/>
      <c r="ED521" s="36"/>
      <c r="EE521" s="36"/>
      <c r="EF521" s="36"/>
      <c r="EG521" s="36"/>
      <c r="EH521" s="36"/>
      <c r="EI521" s="36"/>
      <c r="EJ521" s="36"/>
      <c r="EK521" s="36"/>
      <c r="EL521" s="36"/>
      <c r="EM521" s="36"/>
      <c r="EN521" s="36"/>
      <c r="EO521" s="36"/>
      <c r="EP521" s="36"/>
      <c r="EQ521" s="36"/>
      <c r="ER521" s="36"/>
      <c r="ES521" s="36"/>
      <c r="ET521" s="36"/>
      <c r="EU521" s="36"/>
      <c r="EV521" s="36"/>
      <c r="EW521" s="36"/>
      <c r="EX521" s="36"/>
      <c r="EY521" s="36"/>
      <c r="EZ521" s="36"/>
      <c r="FA521" s="36"/>
      <c r="FB521" s="36"/>
      <c r="FC521" s="36"/>
      <c r="FD521" s="36"/>
      <c r="FE521" s="36"/>
      <c r="FF521" s="36"/>
      <c r="FG521" s="36"/>
      <c r="FH521" s="36"/>
      <c r="FI521" s="36"/>
      <c r="FJ521" s="36"/>
      <c r="FK521" s="36"/>
      <c r="FL521" s="36"/>
      <c r="FM521" s="36"/>
      <c r="FN521" s="36"/>
      <c r="FO521" s="36"/>
      <c r="FP521" s="36"/>
    </row>
    <row r="522" spans="1:172" s="57" customFormat="1" ht="15" customHeight="1" x14ac:dyDescent="0.2">
      <c r="A522" s="10" t="s">
        <v>91</v>
      </c>
      <c r="B522" s="28">
        <v>5.0000000000000001E-3</v>
      </c>
      <c r="C522" s="28">
        <v>2.11</v>
      </c>
      <c r="D522" s="29">
        <f>AVERAGE(B522,C522)</f>
        <v>1.0574999999999999</v>
      </c>
      <c r="E522" s="7">
        <v>10.14</v>
      </c>
      <c r="F522" s="7">
        <v>275.62</v>
      </c>
      <c r="G522" s="34">
        <v>30</v>
      </c>
      <c r="H522" s="10"/>
      <c r="I522" s="10"/>
      <c r="J522" s="10"/>
      <c r="K522" s="10"/>
      <c r="L522" s="13">
        <v>-86.732102829854696</v>
      </c>
      <c r="M522" s="13">
        <v>236.61908730742272</v>
      </c>
      <c r="N522" s="9">
        <v>24.073093527765401</v>
      </c>
      <c r="O522" s="9">
        <v>5.4693955187556096</v>
      </c>
      <c r="P522" s="9"/>
      <c r="Q522" s="9"/>
      <c r="R522" s="7">
        <v>2007</v>
      </c>
      <c r="S522" s="13">
        <v>-86.801056313088296</v>
      </c>
      <c r="T522" s="13">
        <v>236.23137012210901</v>
      </c>
      <c r="U522" s="9">
        <v>55.073468803591901</v>
      </c>
      <c r="V522" s="9">
        <v>-11.529618136606</v>
      </c>
      <c r="W522" s="9">
        <v>0.12993612121966799</v>
      </c>
      <c r="X522" s="7" t="s">
        <v>1202</v>
      </c>
      <c r="Y522" s="10"/>
      <c r="Z522" s="7"/>
      <c r="AA522" s="10" t="b">
        <v>1</v>
      </c>
      <c r="AB522" s="7">
        <v>0</v>
      </c>
      <c r="AC522" s="10" t="s">
        <v>92</v>
      </c>
      <c r="AD522" s="7"/>
      <c r="AE522" s="7" t="s">
        <v>32</v>
      </c>
      <c r="AF522" s="10"/>
      <c r="AG522" s="14"/>
      <c r="AH522" s="10"/>
      <c r="AI522"/>
      <c r="AJ522" s="3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c r="EZ522"/>
      <c r="FA522"/>
      <c r="FB522"/>
      <c r="FC522"/>
      <c r="FD522"/>
      <c r="FE522"/>
      <c r="FF522"/>
      <c r="FG522"/>
      <c r="FH522"/>
      <c r="FI522"/>
      <c r="FJ522"/>
      <c r="FK522"/>
      <c r="FL522"/>
      <c r="FM522"/>
      <c r="FN522"/>
      <c r="FO522"/>
      <c r="FP522"/>
    </row>
    <row r="523" spans="1:172" s="81" customFormat="1" ht="15" customHeight="1" x14ac:dyDescent="0.2">
      <c r="A523" s="10" t="s">
        <v>95</v>
      </c>
      <c r="B523" s="28">
        <v>0.01</v>
      </c>
      <c r="C523" s="28">
        <v>2.27</v>
      </c>
      <c r="D523" s="29">
        <f>AVERAGE(B523,C523)</f>
        <v>1.1399999999999999</v>
      </c>
      <c r="E523" s="7">
        <v>14.73</v>
      </c>
      <c r="F523" s="7">
        <v>298.66000000000003</v>
      </c>
      <c r="G523" s="34">
        <v>14</v>
      </c>
      <c r="H523" s="10"/>
      <c r="I523" s="10"/>
      <c r="J523" s="10"/>
      <c r="K523" s="10"/>
      <c r="L523" s="13">
        <v>-85.905646928538602</v>
      </c>
      <c r="M523" s="13">
        <v>322.83965772196501</v>
      </c>
      <c r="N523" s="9">
        <v>10.012399499089099</v>
      </c>
      <c r="O523" s="9">
        <v>13.2176475982832</v>
      </c>
      <c r="P523" s="9"/>
      <c r="Q523" s="9"/>
      <c r="R523" s="7">
        <v>2007</v>
      </c>
      <c r="S523" s="13">
        <v>-85.939645174335297</v>
      </c>
      <c r="T523" s="13">
        <v>323.96981040524599</v>
      </c>
      <c r="U523" s="9">
        <v>55.103502594599398</v>
      </c>
      <c r="V523" s="9">
        <v>-11.438081503432899</v>
      </c>
      <c r="W523" s="9">
        <v>0.139790149687927</v>
      </c>
      <c r="X523" s="7" t="s">
        <v>1202</v>
      </c>
      <c r="Y523" s="10"/>
      <c r="Z523" s="7"/>
      <c r="AA523" s="10" t="b">
        <v>1</v>
      </c>
      <c r="AB523" s="7">
        <v>0</v>
      </c>
      <c r="AC523" s="10" t="s">
        <v>96</v>
      </c>
      <c r="AD523" s="7"/>
      <c r="AE523" s="7" t="s">
        <v>32</v>
      </c>
      <c r="AF523" s="10"/>
      <c r="AG523" s="14"/>
      <c r="AH523" s="10"/>
      <c r="AI523" s="36"/>
      <c r="AJ523" s="32"/>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c r="BR523" s="36"/>
      <c r="BS523" s="36"/>
      <c r="BT523" s="36"/>
      <c r="BU523" s="36"/>
      <c r="BV523" s="36"/>
      <c r="BW523" s="36"/>
      <c r="BX523" s="36"/>
      <c r="BY523" s="36"/>
      <c r="BZ523" s="36"/>
      <c r="CA523" s="36"/>
      <c r="CB523" s="36"/>
      <c r="CC523" s="36"/>
      <c r="CD523" s="36"/>
      <c r="CE523" s="36"/>
      <c r="CF523" s="36"/>
      <c r="CG523" s="36"/>
      <c r="CH523" s="36"/>
      <c r="CI523" s="36"/>
      <c r="CJ523" s="36"/>
      <c r="CK523" s="36"/>
      <c r="CL523" s="36"/>
      <c r="CM523" s="36"/>
      <c r="CN523" s="36"/>
      <c r="CO523" s="36"/>
      <c r="CP523" s="36"/>
      <c r="CQ523" s="36"/>
      <c r="CR523" s="36"/>
      <c r="CS523" s="36"/>
      <c r="CT523" s="36"/>
      <c r="CU523" s="36"/>
      <c r="CV523" s="36"/>
      <c r="CW523" s="36"/>
      <c r="CX523" s="36"/>
      <c r="CY523" s="36"/>
      <c r="CZ523" s="36"/>
      <c r="DA523" s="36"/>
      <c r="DB523" s="36"/>
      <c r="DC523" s="36"/>
      <c r="DD523" s="36"/>
      <c r="DE523" s="36"/>
      <c r="DF523" s="36"/>
      <c r="DG523" s="36"/>
      <c r="DH523" s="36"/>
      <c r="DI523" s="36"/>
      <c r="DJ523" s="36"/>
      <c r="DK523" s="36"/>
      <c r="DL523" s="36"/>
      <c r="DM523" s="36"/>
      <c r="DN523" s="36"/>
      <c r="DO523" s="36"/>
      <c r="DP523" s="36"/>
      <c r="DQ523" s="36"/>
      <c r="DR523" s="36"/>
      <c r="DS523" s="36"/>
      <c r="DT523" s="36"/>
      <c r="DU523" s="36"/>
      <c r="DV523" s="36"/>
      <c r="DW523" s="36"/>
      <c r="DX523" s="36"/>
      <c r="DY523" s="36"/>
      <c r="DZ523" s="36"/>
      <c r="EA523" s="36"/>
      <c r="EB523" s="36"/>
      <c r="EC523" s="36"/>
      <c r="ED523" s="36"/>
      <c r="EE523" s="36"/>
      <c r="EF523" s="36"/>
      <c r="EG523" s="36"/>
      <c r="EH523" s="36"/>
      <c r="EI523" s="36"/>
      <c r="EJ523" s="36"/>
      <c r="EK523" s="36"/>
      <c r="EL523" s="36"/>
      <c r="EM523" s="36"/>
      <c r="EN523" s="36"/>
      <c r="EO523" s="36"/>
      <c r="EP523" s="36"/>
      <c r="EQ523" s="36"/>
      <c r="ER523" s="36"/>
      <c r="ES523" s="36"/>
      <c r="ET523" s="36"/>
      <c r="EU523" s="36"/>
      <c r="EV523" s="36"/>
      <c r="EW523" s="36"/>
      <c r="EX523" s="36"/>
      <c r="EY523" s="36"/>
      <c r="EZ523" s="36"/>
      <c r="FA523" s="36"/>
      <c r="FB523" s="36"/>
      <c r="FC523" s="36"/>
      <c r="FD523" s="36"/>
      <c r="FE523" s="36"/>
      <c r="FF523" s="36"/>
      <c r="FG523" s="36"/>
      <c r="FH523" s="36"/>
      <c r="FI523" s="36"/>
      <c r="FJ523" s="36"/>
      <c r="FK523" s="36"/>
      <c r="FL523" s="36"/>
      <c r="FM523" s="36"/>
      <c r="FN523" s="36"/>
      <c r="FO523" s="36"/>
      <c r="FP523" s="36"/>
    </row>
    <row r="524" spans="1:172" s="69" customFormat="1" ht="15" customHeight="1" x14ac:dyDescent="0.2">
      <c r="A524" s="10" t="s">
        <v>185</v>
      </c>
      <c r="B524" s="9">
        <v>14.34</v>
      </c>
      <c r="C524" s="9">
        <v>16.3</v>
      </c>
      <c r="D524" s="13">
        <f>AVERAGE(B524,C524)</f>
        <v>15.32</v>
      </c>
      <c r="E524" s="9">
        <v>14.39</v>
      </c>
      <c r="F524" s="9">
        <f>360-87.14</f>
        <v>272.86</v>
      </c>
      <c r="G524" s="34">
        <v>33</v>
      </c>
      <c r="H524" s="7">
        <v>352.5</v>
      </c>
      <c r="I524" s="7">
        <v>15</v>
      </c>
      <c r="J524" s="7">
        <v>16.600000000000001</v>
      </c>
      <c r="K524" s="7">
        <v>5.8</v>
      </c>
      <c r="L524" s="13">
        <v>-80</v>
      </c>
      <c r="M524" s="13">
        <v>322.89999999999998</v>
      </c>
      <c r="N524" s="7">
        <v>24.5</v>
      </c>
      <c r="O524" s="7">
        <v>5.2</v>
      </c>
      <c r="P524" s="9" t="s">
        <v>1203</v>
      </c>
      <c r="Q524" s="9" t="s">
        <v>1203</v>
      </c>
      <c r="R524" s="7">
        <v>2007</v>
      </c>
      <c r="S524" s="13">
        <v>-80.440020827724396</v>
      </c>
      <c r="T524" s="13">
        <v>329.70251319194699</v>
      </c>
      <c r="U524" s="9">
        <v>61.752286391111198</v>
      </c>
      <c r="V524" s="9">
        <v>-6.6743436931503197</v>
      </c>
      <c r="W524" s="9">
        <v>2.0442652906934198</v>
      </c>
      <c r="X524" s="7" t="s">
        <v>1202</v>
      </c>
      <c r="Y524" s="7"/>
      <c r="Z524" s="10"/>
      <c r="AA524" s="10" t="b">
        <v>1</v>
      </c>
      <c r="AB524" s="7">
        <v>0</v>
      </c>
      <c r="AC524" s="10" t="s">
        <v>186</v>
      </c>
      <c r="AD524" s="7"/>
      <c r="AE524" s="7" t="s">
        <v>1369</v>
      </c>
      <c r="AF524" s="10" t="s">
        <v>187</v>
      </c>
      <c r="AG524" s="14"/>
      <c r="AH524" s="10"/>
      <c r="AI524" s="12"/>
      <c r="AJ524" s="3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c r="DK524" s="12"/>
      <c r="DL524" s="12"/>
      <c r="DM524" s="12"/>
      <c r="DN524" s="12"/>
      <c r="DO524" s="12"/>
      <c r="DP524" s="12"/>
      <c r="DQ524" s="12"/>
      <c r="DR524" s="12"/>
      <c r="DS524" s="12"/>
      <c r="DT524" s="12"/>
      <c r="DU524" s="12"/>
      <c r="DV524" s="12"/>
      <c r="DW524" s="12"/>
      <c r="DX524" s="12"/>
      <c r="DY524" s="12"/>
      <c r="DZ524" s="12"/>
      <c r="EA524" s="12"/>
      <c r="EB524" s="12"/>
      <c r="EC524" s="12"/>
      <c r="ED524" s="12"/>
      <c r="EE524" s="12"/>
      <c r="EF524" s="12"/>
      <c r="EG524" s="12"/>
      <c r="EH524" s="12"/>
      <c r="EI524" s="12"/>
      <c r="EJ524" s="12"/>
      <c r="EK524" s="12"/>
      <c r="EL524" s="12"/>
      <c r="EM524" s="12"/>
      <c r="EN524" s="12"/>
      <c r="EO524" s="12"/>
      <c r="EP524" s="12"/>
      <c r="EQ524" s="12"/>
      <c r="ER524" s="12"/>
      <c r="ES524" s="12"/>
      <c r="ET524" s="12"/>
      <c r="EU524" s="12"/>
      <c r="EV524" s="12"/>
      <c r="EW524" s="12"/>
      <c r="EX524" s="12"/>
      <c r="EY524" s="12"/>
      <c r="EZ524" s="12"/>
      <c r="FA524" s="12"/>
      <c r="FB524" s="12"/>
      <c r="FC524" s="12"/>
      <c r="FD524" s="12"/>
      <c r="FE524" s="12"/>
      <c r="FF524" s="12"/>
      <c r="FG524" s="12"/>
      <c r="FH524" s="12"/>
      <c r="FI524" s="12"/>
      <c r="FJ524" s="12"/>
      <c r="FK524" s="12"/>
      <c r="FL524" s="12"/>
      <c r="FM524" s="12"/>
      <c r="FN524" s="12"/>
      <c r="FO524" s="12"/>
      <c r="FP524" s="12"/>
    </row>
    <row r="525" spans="1:172" s="12" customFormat="1" ht="15" customHeight="1" x14ac:dyDescent="0.2">
      <c r="B525" s="10"/>
      <c r="C525" s="10"/>
      <c r="D525" s="13"/>
      <c r="E525" s="10"/>
      <c r="F525" s="10"/>
      <c r="G525" s="26"/>
      <c r="H525" s="10"/>
      <c r="I525" s="10"/>
      <c r="J525" s="10"/>
      <c r="K525" s="10"/>
      <c r="L525" s="13"/>
      <c r="M525" s="13"/>
      <c r="N525" s="9"/>
      <c r="O525" s="9"/>
      <c r="P525" s="2"/>
      <c r="Q525" s="2"/>
      <c r="R525" s="7"/>
      <c r="S525" s="13"/>
      <c r="T525" s="13"/>
      <c r="U525" s="8"/>
      <c r="V525" s="8"/>
      <c r="W525" s="8"/>
      <c r="X525" s="7"/>
      <c r="Y525" s="10"/>
      <c r="Z525" s="10"/>
      <c r="AA525" s="2"/>
      <c r="AB525" s="7"/>
      <c r="AC525" s="14"/>
      <c r="AD525" s="15"/>
      <c r="AE525" s="7"/>
      <c r="AG525" s="15"/>
      <c r="AJ525" s="2"/>
    </row>
    <row r="526" spans="1:172" s="12" customFormat="1" ht="15" customHeight="1" x14ac:dyDescent="0.2">
      <c r="B526" s="10"/>
      <c r="C526" s="10"/>
      <c r="D526" s="13"/>
      <c r="E526" s="10"/>
      <c r="F526" s="10"/>
      <c r="G526" s="26"/>
      <c r="H526" s="10"/>
      <c r="I526" s="10"/>
      <c r="J526" s="10"/>
      <c r="K526" s="10"/>
      <c r="L526" s="13"/>
      <c r="M526" s="13"/>
      <c r="N526" s="9"/>
      <c r="O526" s="9"/>
      <c r="P526" s="2"/>
      <c r="Q526" s="2"/>
      <c r="R526" s="7"/>
      <c r="S526" s="13"/>
      <c r="T526" s="13"/>
      <c r="U526" s="8"/>
      <c r="V526" s="8"/>
      <c r="W526" s="8"/>
      <c r="X526" s="7"/>
      <c r="Y526" s="10"/>
      <c r="Z526" s="10"/>
      <c r="AA526" s="2"/>
      <c r="AB526" s="7"/>
      <c r="AC526" s="14"/>
      <c r="AD526" s="15"/>
      <c r="AE526" s="7"/>
      <c r="AG526" s="15"/>
      <c r="AJ526" s="2"/>
    </row>
    <row r="527" spans="1:172" s="12" customFormat="1" ht="15" customHeight="1" x14ac:dyDescent="0.2">
      <c r="B527" s="10"/>
      <c r="C527" s="10"/>
      <c r="D527" s="13"/>
      <c r="E527" s="10"/>
      <c r="F527" s="10"/>
      <c r="G527" s="26"/>
      <c r="H527" s="10"/>
      <c r="I527" s="10"/>
      <c r="J527" s="10"/>
      <c r="K527" s="10"/>
      <c r="L527" s="13"/>
      <c r="M527" s="13"/>
      <c r="N527" s="9"/>
      <c r="O527" s="9"/>
      <c r="P527" s="2"/>
      <c r="Q527" s="2"/>
      <c r="R527" s="7"/>
      <c r="S527" s="13"/>
      <c r="T527" s="13"/>
      <c r="U527" s="8"/>
      <c r="V527" s="8"/>
      <c r="W527" s="8"/>
      <c r="X527" s="7"/>
      <c r="Y527" s="10"/>
      <c r="Z527" s="10"/>
      <c r="AA527" s="2"/>
      <c r="AB527" s="7"/>
      <c r="AC527" s="14"/>
      <c r="AD527" s="15"/>
      <c r="AE527" s="7"/>
      <c r="AG527" s="15"/>
      <c r="AJ527" s="2"/>
    </row>
    <row r="528" spans="1:172" s="12" customFormat="1" ht="15" customHeight="1" x14ac:dyDescent="0.2">
      <c r="A528" s="15"/>
      <c r="B528" s="10"/>
      <c r="C528" s="10"/>
      <c r="D528" s="13"/>
      <c r="E528" s="10"/>
      <c r="F528" s="10"/>
      <c r="G528" s="26"/>
      <c r="H528" s="10"/>
      <c r="I528" s="10"/>
      <c r="J528" s="10"/>
      <c r="K528" s="10"/>
      <c r="L528" s="13"/>
      <c r="M528" s="6"/>
      <c r="N528" s="7"/>
      <c r="O528" s="7"/>
      <c r="P528" s="2"/>
      <c r="Q528" s="2"/>
      <c r="R528" s="7"/>
      <c r="S528" s="13"/>
      <c r="T528" s="13"/>
      <c r="U528" s="8"/>
      <c r="V528" s="8"/>
      <c r="W528" s="8"/>
      <c r="X528" s="7"/>
      <c r="Y528" s="10"/>
      <c r="Z528" s="10"/>
      <c r="AA528" s="2"/>
      <c r="AB528" s="7"/>
      <c r="AC528" s="14"/>
      <c r="AD528" s="18"/>
      <c r="AE528" s="7"/>
      <c r="AG528" s="15"/>
      <c r="AJ528" s="2"/>
    </row>
    <row r="529" spans="1:36" s="12" customFormat="1" ht="15" customHeight="1" x14ac:dyDescent="0.2">
      <c r="B529" s="10"/>
      <c r="C529" s="10"/>
      <c r="D529" s="13"/>
      <c r="E529" s="10"/>
      <c r="F529" s="10"/>
      <c r="G529" s="26"/>
      <c r="H529" s="10"/>
      <c r="I529" s="10"/>
      <c r="J529" s="10"/>
      <c r="K529" s="10"/>
      <c r="L529" s="13"/>
      <c r="M529" s="13"/>
      <c r="N529" s="9"/>
      <c r="O529" s="9"/>
      <c r="P529" s="2"/>
      <c r="Q529" s="2"/>
      <c r="R529" s="7"/>
      <c r="S529" s="13"/>
      <c r="T529" s="13"/>
      <c r="U529" s="8"/>
      <c r="V529" s="8"/>
      <c r="W529" s="8"/>
      <c r="X529" s="7"/>
      <c r="Y529" s="10"/>
      <c r="Z529" s="10"/>
      <c r="AA529" s="2"/>
      <c r="AB529" s="7"/>
      <c r="AC529" s="14"/>
      <c r="AD529" s="15"/>
      <c r="AE529" s="7"/>
      <c r="AG529" s="15"/>
      <c r="AJ529" s="2"/>
    </row>
    <row r="530" spans="1:36" s="12" customFormat="1" ht="14" customHeight="1" x14ac:dyDescent="0.2">
      <c r="A530" s="15"/>
      <c r="B530" s="10"/>
      <c r="C530" s="10"/>
      <c r="D530" s="13"/>
      <c r="E530" s="10"/>
      <c r="F530" s="10"/>
      <c r="G530" s="26"/>
      <c r="H530" s="10"/>
      <c r="I530" s="10"/>
      <c r="J530" s="10"/>
      <c r="K530" s="7"/>
      <c r="L530" s="13"/>
      <c r="M530" s="6"/>
      <c r="N530" s="7"/>
      <c r="O530" s="7"/>
      <c r="P530" s="2"/>
      <c r="Q530" s="2"/>
      <c r="R530" s="7"/>
      <c r="S530" s="13"/>
      <c r="T530" s="13"/>
      <c r="U530" s="8"/>
      <c r="V530" s="8"/>
      <c r="W530" s="8"/>
      <c r="X530" s="7"/>
      <c r="Y530" s="10"/>
      <c r="Z530" s="10"/>
      <c r="AA530" s="2"/>
      <c r="AB530" s="7"/>
      <c r="AC530" s="14"/>
      <c r="AD530" s="15"/>
      <c r="AE530" s="7"/>
      <c r="AG530" s="15"/>
      <c r="AJ530" s="2"/>
    </row>
    <row r="531" spans="1:36" s="12" customFormat="1" ht="14" customHeight="1" x14ac:dyDescent="0.2">
      <c r="B531" s="10"/>
      <c r="C531" s="10"/>
      <c r="D531" s="13"/>
      <c r="E531" s="10"/>
      <c r="F531" s="10"/>
      <c r="G531" s="26"/>
      <c r="H531" s="10"/>
      <c r="I531" s="10"/>
      <c r="J531" s="10"/>
      <c r="K531" s="10"/>
      <c r="L531" s="13"/>
      <c r="M531" s="13"/>
      <c r="N531" s="9"/>
      <c r="O531" s="9"/>
      <c r="P531" s="2"/>
      <c r="Q531" s="2"/>
      <c r="R531" s="7"/>
      <c r="S531" s="13"/>
      <c r="T531" s="13"/>
      <c r="U531" s="8"/>
      <c r="V531" s="8"/>
      <c r="W531" s="8"/>
      <c r="X531" s="7"/>
      <c r="Y531" s="10"/>
      <c r="Z531" s="10"/>
      <c r="AA531" s="2"/>
      <c r="AB531" s="7"/>
      <c r="AC531" s="14"/>
      <c r="AD531" s="15"/>
      <c r="AE531" s="7"/>
      <c r="AG531" s="15"/>
      <c r="AJ531" s="2"/>
    </row>
    <row r="532" spans="1:36" s="12" customFormat="1" ht="14" customHeight="1" x14ac:dyDescent="0.2">
      <c r="B532" s="10"/>
      <c r="C532" s="10"/>
      <c r="D532" s="13"/>
      <c r="E532" s="10"/>
      <c r="F532" s="10"/>
      <c r="G532" s="26"/>
      <c r="H532" s="10"/>
      <c r="I532" s="10"/>
      <c r="J532" s="10"/>
      <c r="K532" s="10"/>
      <c r="L532" s="13"/>
      <c r="M532" s="13"/>
      <c r="N532" s="9"/>
      <c r="O532" s="9"/>
      <c r="P532" s="2"/>
      <c r="Q532" s="2"/>
      <c r="R532" s="7"/>
      <c r="S532" s="13"/>
      <c r="T532" s="13"/>
      <c r="U532" s="8"/>
      <c r="V532" s="8"/>
      <c r="W532" s="8"/>
      <c r="X532" s="7"/>
      <c r="Y532" s="10"/>
      <c r="Z532" s="10"/>
      <c r="AA532" s="2"/>
      <c r="AB532" s="7"/>
      <c r="AC532" s="14"/>
      <c r="AD532" s="15"/>
      <c r="AE532" s="7"/>
      <c r="AG532" s="15"/>
      <c r="AJ532" s="2"/>
    </row>
    <row r="533" spans="1:36" s="12" customFormat="1" ht="14" customHeight="1" x14ac:dyDescent="0.2">
      <c r="A533" s="15"/>
      <c r="B533" s="10"/>
      <c r="C533" s="10"/>
      <c r="D533" s="13"/>
      <c r="E533" s="10"/>
      <c r="F533" s="10"/>
      <c r="G533" s="26"/>
      <c r="H533" s="10"/>
      <c r="I533" s="10"/>
      <c r="J533" s="10"/>
      <c r="K533" s="7"/>
      <c r="L533" s="13"/>
      <c r="M533" s="6"/>
      <c r="N533" s="7"/>
      <c r="O533" s="7"/>
      <c r="P533" s="2"/>
      <c r="Q533" s="2"/>
      <c r="R533" s="7"/>
      <c r="S533" s="13"/>
      <c r="T533" s="13"/>
      <c r="U533" s="8"/>
      <c r="V533" s="8"/>
      <c r="W533" s="8"/>
      <c r="X533" s="7"/>
      <c r="Y533" s="10"/>
      <c r="Z533" s="10"/>
      <c r="AA533" s="2"/>
      <c r="AB533" s="7"/>
      <c r="AC533" s="14"/>
      <c r="AD533" s="15"/>
      <c r="AE533" s="7"/>
      <c r="AG533" s="15"/>
      <c r="AJ533" s="2"/>
    </row>
    <row r="534" spans="1:36" s="12" customFormat="1" ht="14" customHeight="1" x14ac:dyDescent="0.2">
      <c r="A534" s="15"/>
      <c r="B534" s="10"/>
      <c r="C534" s="10"/>
      <c r="D534" s="13"/>
      <c r="E534" s="10"/>
      <c r="F534" s="10"/>
      <c r="G534" s="26"/>
      <c r="H534" s="10"/>
      <c r="I534" s="10"/>
      <c r="J534" s="10"/>
      <c r="K534" s="7"/>
      <c r="L534" s="13"/>
      <c r="M534" s="6"/>
      <c r="N534" s="7"/>
      <c r="O534" s="7"/>
      <c r="P534" s="2"/>
      <c r="Q534" s="2"/>
      <c r="R534" s="7"/>
      <c r="S534" s="13"/>
      <c r="T534" s="13"/>
      <c r="U534" s="8"/>
      <c r="V534" s="8"/>
      <c r="W534" s="8"/>
      <c r="X534" s="7"/>
      <c r="Y534" s="10"/>
      <c r="Z534" s="10"/>
      <c r="AA534" s="2"/>
      <c r="AB534" s="7"/>
      <c r="AC534" s="14"/>
      <c r="AD534" s="15"/>
      <c r="AE534" s="7"/>
      <c r="AG534" s="15"/>
      <c r="AJ534" s="2"/>
    </row>
    <row r="535" spans="1:36" s="12" customFormat="1" ht="14" customHeight="1" x14ac:dyDescent="0.2">
      <c r="B535" s="10"/>
      <c r="C535" s="10"/>
      <c r="D535" s="13"/>
      <c r="E535" s="10"/>
      <c r="F535" s="10"/>
      <c r="G535" s="26"/>
      <c r="H535" s="10"/>
      <c r="I535" s="10"/>
      <c r="J535" s="10"/>
      <c r="K535" s="10"/>
      <c r="L535" s="13"/>
      <c r="M535" s="6"/>
      <c r="N535" s="7"/>
      <c r="O535" s="7"/>
      <c r="P535" s="2"/>
      <c r="Q535" s="2"/>
      <c r="R535" s="7"/>
      <c r="S535" s="13"/>
      <c r="T535" s="13"/>
      <c r="U535" s="8"/>
      <c r="V535" s="8"/>
      <c r="W535" s="8"/>
      <c r="X535" s="7"/>
      <c r="Y535" s="10"/>
      <c r="Z535" s="10"/>
      <c r="AA535" s="2"/>
      <c r="AB535" s="7"/>
      <c r="AC535" s="14"/>
      <c r="AE535" s="7"/>
      <c r="AG535" s="15"/>
      <c r="AJ535" s="2"/>
    </row>
    <row r="536" spans="1:36" s="12" customFormat="1" ht="14" customHeight="1" x14ac:dyDescent="0.2">
      <c r="B536" s="10"/>
      <c r="C536" s="10"/>
      <c r="D536" s="13"/>
      <c r="E536" s="10"/>
      <c r="F536" s="10"/>
      <c r="G536" s="26"/>
      <c r="H536" s="10"/>
      <c r="I536" s="10"/>
      <c r="J536" s="10"/>
      <c r="K536" s="10"/>
      <c r="L536" s="13"/>
      <c r="M536" s="6"/>
      <c r="N536" s="7"/>
      <c r="O536" s="7"/>
      <c r="P536" s="2"/>
      <c r="Q536" s="2"/>
      <c r="R536" s="7"/>
      <c r="S536" s="13"/>
      <c r="T536" s="13"/>
      <c r="U536" s="8"/>
      <c r="V536" s="8"/>
      <c r="W536" s="8"/>
      <c r="X536" s="7"/>
      <c r="Y536" s="10"/>
      <c r="Z536" s="10"/>
      <c r="AA536" s="2"/>
      <c r="AB536" s="7"/>
      <c r="AC536" s="14"/>
      <c r="AE536" s="7"/>
      <c r="AG536" s="15"/>
      <c r="AJ536" s="2"/>
    </row>
    <row r="537" spans="1:36" s="12" customFormat="1" ht="14" customHeight="1" x14ac:dyDescent="0.2">
      <c r="B537" s="10"/>
      <c r="C537" s="10"/>
      <c r="D537" s="13"/>
      <c r="E537" s="10"/>
      <c r="F537" s="10"/>
      <c r="G537" s="26"/>
      <c r="H537" s="10"/>
      <c r="I537" s="10"/>
      <c r="J537" s="10"/>
      <c r="K537" s="10"/>
      <c r="L537" s="13"/>
      <c r="M537" s="6"/>
      <c r="N537" s="7"/>
      <c r="O537" s="7"/>
      <c r="P537" s="2"/>
      <c r="Q537" s="2"/>
      <c r="R537" s="7"/>
      <c r="S537" s="13"/>
      <c r="T537" s="13"/>
      <c r="U537" s="8"/>
      <c r="V537" s="8"/>
      <c r="W537" s="8"/>
      <c r="X537" s="7"/>
      <c r="Y537" s="10"/>
      <c r="Z537" s="10"/>
      <c r="AA537" s="2"/>
      <c r="AB537" s="7"/>
      <c r="AC537" s="14"/>
      <c r="AE537" s="7"/>
      <c r="AG537" s="15"/>
      <c r="AJ537" s="2"/>
    </row>
    <row r="538" spans="1:36" s="12" customFormat="1" ht="14" customHeight="1" x14ac:dyDescent="0.2">
      <c r="B538" s="10"/>
      <c r="C538" s="10"/>
      <c r="D538" s="13"/>
      <c r="E538" s="10"/>
      <c r="F538" s="10"/>
      <c r="G538" s="26"/>
      <c r="H538" s="10"/>
      <c r="I538" s="10"/>
      <c r="J538" s="10"/>
      <c r="K538" s="10"/>
      <c r="L538" s="13"/>
      <c r="M538" s="13"/>
      <c r="N538" s="9"/>
      <c r="O538" s="9"/>
      <c r="P538" s="2"/>
      <c r="Q538" s="2"/>
      <c r="R538" s="7"/>
      <c r="S538" s="13"/>
      <c r="T538" s="13"/>
      <c r="U538" s="8"/>
      <c r="V538" s="8"/>
      <c r="W538" s="8"/>
      <c r="X538" s="7"/>
      <c r="Y538" s="10"/>
      <c r="Z538" s="10"/>
      <c r="AA538" s="2"/>
      <c r="AB538" s="7"/>
      <c r="AC538" s="14"/>
      <c r="AD538" s="15"/>
      <c r="AE538" s="7"/>
      <c r="AG538" s="15"/>
      <c r="AJ538" s="2"/>
    </row>
    <row r="539" spans="1:36" s="12" customFormat="1" ht="14" customHeight="1" x14ac:dyDescent="0.2">
      <c r="B539" s="10"/>
      <c r="C539" s="10"/>
      <c r="D539" s="13"/>
      <c r="E539" s="10"/>
      <c r="F539" s="10"/>
      <c r="G539" s="26"/>
      <c r="H539" s="10"/>
      <c r="I539" s="10"/>
      <c r="J539" s="10"/>
      <c r="K539" s="10"/>
      <c r="L539" s="13"/>
      <c r="M539" s="13"/>
      <c r="N539" s="9"/>
      <c r="O539" s="9"/>
      <c r="P539" s="2"/>
      <c r="Q539" s="2"/>
      <c r="R539" s="7"/>
      <c r="S539" s="13"/>
      <c r="T539" s="13"/>
      <c r="U539" s="8"/>
      <c r="V539" s="8"/>
      <c r="W539" s="8"/>
      <c r="X539" s="7"/>
      <c r="Y539" s="10"/>
      <c r="Z539" s="10"/>
      <c r="AA539" s="2"/>
      <c r="AB539" s="7"/>
      <c r="AC539" s="14"/>
      <c r="AD539" s="15"/>
      <c r="AE539" s="7"/>
      <c r="AG539" s="15"/>
      <c r="AJ539" s="2"/>
    </row>
    <row r="540" spans="1:36" s="12" customFormat="1" ht="14" customHeight="1" x14ac:dyDescent="0.2">
      <c r="B540" s="10"/>
      <c r="C540" s="10"/>
      <c r="D540" s="13"/>
      <c r="E540" s="10"/>
      <c r="F540" s="10"/>
      <c r="G540" s="26"/>
      <c r="H540" s="10"/>
      <c r="I540" s="10"/>
      <c r="J540" s="10"/>
      <c r="K540" s="10"/>
      <c r="L540" s="13"/>
      <c r="M540" s="6"/>
      <c r="N540" s="7"/>
      <c r="O540" s="7"/>
      <c r="P540" s="2"/>
      <c r="Q540" s="2"/>
      <c r="R540" s="7"/>
      <c r="S540" s="13"/>
      <c r="T540" s="13"/>
      <c r="U540" s="8"/>
      <c r="V540" s="8"/>
      <c r="W540" s="8"/>
      <c r="X540" s="7"/>
      <c r="Y540" s="10"/>
      <c r="Z540" s="10"/>
      <c r="AA540" s="2"/>
      <c r="AB540" s="7"/>
      <c r="AC540" s="14"/>
      <c r="AD540" s="15"/>
      <c r="AE540" s="7"/>
      <c r="AG540" s="15"/>
      <c r="AJ540" s="2"/>
    </row>
    <row r="541" spans="1:36" s="12" customFormat="1" ht="14" customHeight="1" x14ac:dyDescent="0.2">
      <c r="A541" s="15"/>
      <c r="B541" s="10"/>
      <c r="C541" s="10"/>
      <c r="D541" s="13"/>
      <c r="E541" s="10"/>
      <c r="F541" s="10"/>
      <c r="G541" s="26"/>
      <c r="H541" s="10"/>
      <c r="I541" s="10"/>
      <c r="J541" s="10"/>
      <c r="K541" s="9"/>
      <c r="L541" s="13"/>
      <c r="M541" s="13"/>
      <c r="N541" s="9"/>
      <c r="O541" s="9"/>
      <c r="P541" s="2"/>
      <c r="Q541" s="2"/>
      <c r="R541" s="7"/>
      <c r="S541" s="13"/>
      <c r="T541" s="13"/>
      <c r="U541" s="8"/>
      <c r="V541" s="8"/>
      <c r="W541" s="8"/>
      <c r="X541" s="7"/>
      <c r="Y541" s="10"/>
      <c r="Z541" s="10"/>
      <c r="AA541" s="2"/>
      <c r="AB541" s="7"/>
      <c r="AC541" s="14"/>
      <c r="AD541" s="15"/>
      <c r="AE541" s="7"/>
      <c r="AG541" s="15"/>
      <c r="AJ541" s="2"/>
    </row>
    <row r="542" spans="1:36" s="12" customFormat="1" ht="14" customHeight="1" x14ac:dyDescent="0.2">
      <c r="A542" s="15"/>
      <c r="B542" s="10"/>
      <c r="C542" s="10"/>
      <c r="D542" s="13"/>
      <c r="E542" s="10"/>
      <c r="F542" s="10"/>
      <c r="G542" s="26"/>
      <c r="H542" s="10"/>
      <c r="I542" s="10"/>
      <c r="J542" s="10"/>
      <c r="K542" s="9"/>
      <c r="L542" s="13"/>
      <c r="M542" s="6"/>
      <c r="N542" s="7"/>
      <c r="O542" s="7"/>
      <c r="P542" s="2"/>
      <c r="Q542" s="2"/>
      <c r="R542" s="7"/>
      <c r="S542" s="13"/>
      <c r="T542" s="13"/>
      <c r="U542" s="8"/>
      <c r="V542" s="8"/>
      <c r="W542" s="8"/>
      <c r="X542" s="7"/>
      <c r="Y542" s="10"/>
      <c r="Z542" s="10"/>
      <c r="AA542" s="2"/>
      <c r="AB542" s="7"/>
      <c r="AC542" s="14"/>
      <c r="AD542" s="15"/>
      <c r="AE542" s="7"/>
      <c r="AG542" s="15"/>
      <c r="AJ542" s="2"/>
    </row>
    <row r="543" spans="1:36" s="12" customFormat="1" ht="14" customHeight="1" x14ac:dyDescent="0.2">
      <c r="B543" s="10"/>
      <c r="C543" s="10"/>
      <c r="D543" s="13"/>
      <c r="E543" s="10"/>
      <c r="F543" s="10"/>
      <c r="G543" s="26"/>
      <c r="H543" s="10"/>
      <c r="I543" s="10"/>
      <c r="J543" s="10"/>
      <c r="K543" s="10"/>
      <c r="L543" s="13"/>
      <c r="M543" s="13"/>
      <c r="N543" s="9"/>
      <c r="O543" s="9"/>
      <c r="P543" s="2"/>
      <c r="Q543" s="2"/>
      <c r="R543" s="7"/>
      <c r="S543" s="13"/>
      <c r="T543" s="13"/>
      <c r="U543" s="8"/>
      <c r="V543" s="8"/>
      <c r="W543" s="8"/>
      <c r="X543" s="7"/>
      <c r="Y543" s="10"/>
      <c r="Z543" s="10"/>
      <c r="AA543" s="2"/>
      <c r="AB543" s="7"/>
      <c r="AC543" s="14"/>
      <c r="AD543" s="15"/>
      <c r="AE543" s="7"/>
      <c r="AG543" s="15"/>
      <c r="AJ543" s="2"/>
    </row>
    <row r="544" spans="1:36" s="12" customFormat="1" ht="14" customHeight="1" x14ac:dyDescent="0.2">
      <c r="A544" s="15"/>
      <c r="B544" s="10"/>
      <c r="C544" s="10"/>
      <c r="D544" s="13"/>
      <c r="E544" s="10"/>
      <c r="F544" s="10"/>
      <c r="G544" s="26"/>
      <c r="H544" s="10"/>
      <c r="I544" s="10"/>
      <c r="J544" s="10"/>
      <c r="K544" s="7"/>
      <c r="L544" s="13"/>
      <c r="M544" s="6"/>
      <c r="N544" s="7"/>
      <c r="O544" s="7"/>
      <c r="P544" s="2"/>
      <c r="Q544" s="2"/>
      <c r="R544" s="7"/>
      <c r="S544" s="13"/>
      <c r="T544" s="13"/>
      <c r="U544" s="8"/>
      <c r="V544" s="8"/>
      <c r="W544" s="8"/>
      <c r="X544" s="7"/>
      <c r="Y544" s="10"/>
      <c r="Z544" s="10"/>
      <c r="AA544" s="2"/>
      <c r="AB544" s="7"/>
      <c r="AC544" s="14"/>
      <c r="AD544" s="15"/>
      <c r="AE544" s="7"/>
      <c r="AG544" s="15"/>
      <c r="AJ544" s="2"/>
    </row>
    <row r="545" spans="1:36" s="12" customFormat="1" ht="14" customHeight="1" x14ac:dyDescent="0.2">
      <c r="B545" s="10"/>
      <c r="C545" s="10"/>
      <c r="D545" s="13"/>
      <c r="E545" s="10"/>
      <c r="F545" s="10"/>
      <c r="G545" s="26"/>
      <c r="H545" s="10"/>
      <c r="I545" s="10"/>
      <c r="J545" s="10"/>
      <c r="K545" s="10"/>
      <c r="L545" s="13"/>
      <c r="M545" s="13"/>
      <c r="N545" s="9"/>
      <c r="O545" s="9"/>
      <c r="P545" s="2"/>
      <c r="Q545" s="2"/>
      <c r="R545" s="7"/>
      <c r="S545" s="13"/>
      <c r="T545" s="13"/>
      <c r="U545" s="8"/>
      <c r="V545" s="8"/>
      <c r="W545" s="8"/>
      <c r="X545" s="7"/>
      <c r="Y545" s="10"/>
      <c r="Z545" s="10"/>
      <c r="AA545" s="2"/>
      <c r="AB545" s="7"/>
      <c r="AC545" s="14"/>
      <c r="AD545" s="15"/>
      <c r="AE545" s="7"/>
      <c r="AG545" s="15"/>
      <c r="AJ545" s="2"/>
    </row>
    <row r="546" spans="1:36" s="12" customFormat="1" ht="14" customHeight="1" x14ac:dyDescent="0.2">
      <c r="B546" s="10"/>
      <c r="C546" s="10"/>
      <c r="D546" s="13"/>
      <c r="E546" s="10"/>
      <c r="F546" s="10"/>
      <c r="G546" s="26"/>
      <c r="H546" s="10"/>
      <c r="I546" s="10"/>
      <c r="J546" s="10"/>
      <c r="K546" s="10"/>
      <c r="L546" s="13"/>
      <c r="M546" s="13"/>
      <c r="N546" s="9"/>
      <c r="O546" s="9"/>
      <c r="P546" s="2"/>
      <c r="Q546" s="2"/>
      <c r="R546" s="7"/>
      <c r="S546" s="13"/>
      <c r="T546" s="13"/>
      <c r="U546" s="8"/>
      <c r="V546" s="8"/>
      <c r="W546" s="8"/>
      <c r="X546" s="7"/>
      <c r="Y546" s="10"/>
      <c r="Z546" s="10"/>
      <c r="AA546" s="2"/>
      <c r="AB546" s="7"/>
      <c r="AC546" s="14"/>
      <c r="AD546" s="15"/>
      <c r="AE546" s="7"/>
      <c r="AG546" s="15"/>
      <c r="AJ546" s="2"/>
    </row>
    <row r="547" spans="1:36" s="12" customFormat="1" ht="14" customHeight="1" x14ac:dyDescent="0.2">
      <c r="B547" s="10"/>
      <c r="C547" s="10"/>
      <c r="D547" s="13"/>
      <c r="E547" s="10"/>
      <c r="F547" s="10"/>
      <c r="G547" s="26"/>
      <c r="H547" s="10"/>
      <c r="I547" s="10"/>
      <c r="J547" s="10"/>
      <c r="K547" s="10"/>
      <c r="L547" s="13"/>
      <c r="M547" s="13"/>
      <c r="N547" s="9"/>
      <c r="O547" s="9"/>
      <c r="P547" s="2"/>
      <c r="Q547" s="2"/>
      <c r="R547" s="7"/>
      <c r="S547" s="13"/>
      <c r="T547" s="13"/>
      <c r="U547" s="8"/>
      <c r="V547" s="8"/>
      <c r="W547" s="8"/>
      <c r="X547" s="7"/>
      <c r="Y547" s="10"/>
      <c r="Z547" s="10"/>
      <c r="AA547" s="2"/>
      <c r="AB547" s="7"/>
      <c r="AC547" s="14"/>
      <c r="AD547" s="15"/>
      <c r="AE547" s="7"/>
      <c r="AG547" s="15"/>
      <c r="AJ547" s="2"/>
    </row>
    <row r="548" spans="1:36" s="12" customFormat="1" ht="14" customHeight="1" x14ac:dyDescent="0.2">
      <c r="B548" s="10"/>
      <c r="C548" s="10"/>
      <c r="D548" s="13"/>
      <c r="E548" s="10"/>
      <c r="F548" s="10"/>
      <c r="G548" s="26"/>
      <c r="H548" s="10"/>
      <c r="I548" s="10"/>
      <c r="J548" s="10"/>
      <c r="K548" s="10"/>
      <c r="L548" s="13"/>
      <c r="M548" s="6"/>
      <c r="N548" s="7"/>
      <c r="O548" s="7"/>
      <c r="P548" s="2"/>
      <c r="Q548" s="2"/>
      <c r="R548" s="7"/>
      <c r="S548" s="13"/>
      <c r="T548" s="13"/>
      <c r="U548" s="8"/>
      <c r="V548" s="8"/>
      <c r="W548" s="8"/>
      <c r="X548" s="7"/>
      <c r="Y548" s="10"/>
      <c r="Z548" s="10"/>
      <c r="AA548" s="2"/>
      <c r="AB548" s="7"/>
      <c r="AC548" s="14"/>
      <c r="AD548" s="15"/>
      <c r="AE548" s="7"/>
      <c r="AG548" s="15"/>
      <c r="AJ548" s="2"/>
    </row>
    <row r="549" spans="1:36" s="12" customFormat="1" ht="14" customHeight="1" x14ac:dyDescent="0.2">
      <c r="B549" s="10"/>
      <c r="C549" s="10"/>
      <c r="D549" s="13"/>
      <c r="E549" s="10"/>
      <c r="F549" s="10"/>
      <c r="G549" s="26"/>
      <c r="H549" s="10"/>
      <c r="I549" s="10"/>
      <c r="J549" s="10"/>
      <c r="K549" s="10"/>
      <c r="L549" s="13"/>
      <c r="M549" s="6"/>
      <c r="N549" s="7"/>
      <c r="O549" s="7"/>
      <c r="P549" s="2"/>
      <c r="Q549" s="2"/>
      <c r="R549" s="7"/>
      <c r="S549" s="13"/>
      <c r="T549" s="13"/>
      <c r="U549" s="8"/>
      <c r="V549" s="8"/>
      <c r="W549" s="8"/>
      <c r="X549" s="7"/>
      <c r="Y549" s="10"/>
      <c r="Z549" s="10"/>
      <c r="AA549" s="2"/>
      <c r="AB549" s="7"/>
      <c r="AC549" s="14"/>
      <c r="AD549" s="15"/>
      <c r="AE549" s="7"/>
      <c r="AG549" s="15"/>
      <c r="AJ549" s="2"/>
    </row>
    <row r="550" spans="1:36" s="12" customFormat="1" ht="14" customHeight="1" x14ac:dyDescent="0.2">
      <c r="B550" s="10"/>
      <c r="C550" s="10"/>
      <c r="D550" s="6"/>
      <c r="E550" s="10"/>
      <c r="F550" s="10"/>
      <c r="G550" s="26"/>
      <c r="H550" s="10"/>
      <c r="I550" s="10"/>
      <c r="J550" s="10"/>
      <c r="K550" s="10"/>
      <c r="L550" s="13"/>
      <c r="M550" s="13"/>
      <c r="N550" s="9"/>
      <c r="O550" s="9"/>
      <c r="P550" s="2"/>
      <c r="Q550" s="2"/>
      <c r="R550" s="7"/>
      <c r="S550" s="13"/>
      <c r="T550" s="13"/>
      <c r="U550" s="8"/>
      <c r="V550" s="8"/>
      <c r="W550" s="8"/>
      <c r="X550" s="7"/>
      <c r="Y550" s="10"/>
      <c r="Z550" s="10"/>
      <c r="AA550" s="2"/>
      <c r="AB550" s="7"/>
      <c r="AC550" s="14"/>
      <c r="AE550" s="7"/>
      <c r="AG550" s="15"/>
      <c r="AJ550" s="2"/>
    </row>
    <row r="551" spans="1:36" s="12" customFormat="1" ht="14" customHeight="1" x14ac:dyDescent="0.2">
      <c r="B551" s="10"/>
      <c r="C551" s="10"/>
      <c r="D551" s="13"/>
      <c r="E551" s="10"/>
      <c r="F551" s="10"/>
      <c r="G551" s="26"/>
      <c r="H551" s="10"/>
      <c r="I551" s="10"/>
      <c r="J551" s="10"/>
      <c r="K551" s="10"/>
      <c r="L551" s="13"/>
      <c r="M551" s="13"/>
      <c r="N551" s="9"/>
      <c r="O551" s="9"/>
      <c r="P551" s="2"/>
      <c r="Q551" s="2"/>
      <c r="R551" s="7"/>
      <c r="S551" s="13"/>
      <c r="T551" s="13"/>
      <c r="U551" s="8"/>
      <c r="V551" s="8"/>
      <c r="W551" s="8"/>
      <c r="X551" s="7"/>
      <c r="Y551" s="10"/>
      <c r="Z551" s="10"/>
      <c r="AA551" s="2"/>
      <c r="AB551" s="7"/>
      <c r="AC551" s="14"/>
      <c r="AD551" s="15"/>
      <c r="AE551" s="7"/>
      <c r="AG551" s="15"/>
      <c r="AJ551" s="2"/>
    </row>
    <row r="552" spans="1:36" s="12" customFormat="1" ht="14" customHeight="1" x14ac:dyDescent="0.2">
      <c r="B552" s="10"/>
      <c r="C552" s="10"/>
      <c r="D552" s="13"/>
      <c r="E552" s="10"/>
      <c r="F552" s="10"/>
      <c r="G552" s="26"/>
      <c r="H552" s="10"/>
      <c r="I552" s="10"/>
      <c r="J552" s="10"/>
      <c r="K552" s="10"/>
      <c r="L552" s="13"/>
      <c r="M552" s="6"/>
      <c r="N552" s="7"/>
      <c r="O552" s="7"/>
      <c r="P552" s="2"/>
      <c r="Q552" s="2"/>
      <c r="R552" s="7"/>
      <c r="S552" s="13"/>
      <c r="T552" s="13"/>
      <c r="U552" s="8"/>
      <c r="V552" s="8"/>
      <c r="W552" s="8"/>
      <c r="X552" s="7"/>
      <c r="Y552" s="10"/>
      <c r="Z552" s="10"/>
      <c r="AA552" s="2"/>
      <c r="AB552" s="7"/>
      <c r="AC552" s="14"/>
      <c r="AD552" s="18"/>
      <c r="AE552" s="7"/>
      <c r="AG552" s="15"/>
      <c r="AJ552" s="2"/>
    </row>
    <row r="553" spans="1:36" s="12" customFormat="1" ht="14" customHeight="1" x14ac:dyDescent="0.2">
      <c r="B553" s="10"/>
      <c r="C553" s="10"/>
      <c r="D553" s="13"/>
      <c r="E553" s="10"/>
      <c r="F553" s="10"/>
      <c r="G553" s="26"/>
      <c r="H553" s="10"/>
      <c r="I553" s="10"/>
      <c r="J553" s="10"/>
      <c r="K553" s="10"/>
      <c r="L553" s="13"/>
      <c r="M553" s="13"/>
      <c r="N553" s="9"/>
      <c r="O553" s="9"/>
      <c r="P553" s="2"/>
      <c r="Q553" s="2"/>
      <c r="R553" s="7"/>
      <c r="S553" s="13"/>
      <c r="T553" s="13"/>
      <c r="U553" s="8"/>
      <c r="V553" s="8"/>
      <c r="W553" s="8"/>
      <c r="X553" s="7"/>
      <c r="Y553" s="10"/>
      <c r="Z553" s="10"/>
      <c r="AA553" s="2"/>
      <c r="AB553" s="7"/>
      <c r="AC553" s="14"/>
      <c r="AD553" s="15"/>
      <c r="AE553" s="7"/>
      <c r="AG553" s="15"/>
      <c r="AJ553" s="2"/>
    </row>
    <row r="554" spans="1:36" s="12" customFormat="1" ht="14" customHeight="1" x14ac:dyDescent="0.2">
      <c r="B554" s="10"/>
      <c r="C554" s="10"/>
      <c r="D554" s="6"/>
      <c r="E554" s="10"/>
      <c r="F554" s="10"/>
      <c r="G554" s="26"/>
      <c r="H554" s="10"/>
      <c r="I554" s="10"/>
      <c r="J554" s="10"/>
      <c r="K554" s="10"/>
      <c r="L554" s="13"/>
      <c r="M554" s="6"/>
      <c r="N554" s="7"/>
      <c r="O554" s="7"/>
      <c r="P554" s="2"/>
      <c r="Q554" s="2"/>
      <c r="R554" s="7"/>
      <c r="S554" s="13"/>
      <c r="T554" s="13"/>
      <c r="U554" s="8"/>
      <c r="V554" s="8"/>
      <c r="W554" s="8"/>
      <c r="X554" s="7"/>
      <c r="Y554" s="10"/>
      <c r="Z554" s="10"/>
      <c r="AA554" s="2"/>
      <c r="AB554" s="7"/>
      <c r="AC554" s="14"/>
      <c r="AE554" s="7"/>
      <c r="AG554" s="15"/>
      <c r="AJ554" s="2"/>
    </row>
    <row r="555" spans="1:36" s="12" customFormat="1" ht="14" customHeight="1" x14ac:dyDescent="0.2">
      <c r="A555" s="15"/>
      <c r="B555" s="10"/>
      <c r="C555" s="10"/>
      <c r="D555" s="13"/>
      <c r="E555" s="10"/>
      <c r="F555" s="10"/>
      <c r="G555" s="26"/>
      <c r="H555" s="10"/>
      <c r="I555" s="10"/>
      <c r="J555" s="10"/>
      <c r="K555" s="7"/>
      <c r="L555" s="13"/>
      <c r="M555" s="6"/>
      <c r="N555" s="7"/>
      <c r="O555" s="7"/>
      <c r="P555" s="2"/>
      <c r="Q555" s="2"/>
      <c r="R555" s="7"/>
      <c r="S555" s="13"/>
      <c r="T555" s="13"/>
      <c r="U555" s="8"/>
      <c r="V555" s="8"/>
      <c r="W555" s="8"/>
      <c r="X555" s="7"/>
      <c r="Y555" s="10"/>
      <c r="Z555" s="10"/>
      <c r="AA555" s="2"/>
      <c r="AB555" s="7"/>
      <c r="AC555" s="14"/>
      <c r="AD555" s="15"/>
      <c r="AE555" s="7"/>
      <c r="AG555" s="15"/>
      <c r="AJ555" s="2"/>
    </row>
    <row r="556" spans="1:36" s="12" customFormat="1" ht="14" customHeight="1" x14ac:dyDescent="0.2">
      <c r="B556" s="10"/>
      <c r="C556" s="10"/>
      <c r="D556" s="6"/>
      <c r="E556" s="10"/>
      <c r="F556" s="10"/>
      <c r="G556" s="26"/>
      <c r="H556" s="10"/>
      <c r="I556" s="10"/>
      <c r="J556" s="10"/>
      <c r="K556" s="10"/>
      <c r="L556" s="13"/>
      <c r="M556" s="6"/>
      <c r="N556" s="7"/>
      <c r="O556" s="7"/>
      <c r="P556" s="2"/>
      <c r="Q556" s="2"/>
      <c r="R556" s="7"/>
      <c r="S556" s="13"/>
      <c r="T556" s="13"/>
      <c r="U556" s="8"/>
      <c r="V556" s="8"/>
      <c r="W556" s="8"/>
      <c r="X556" s="7"/>
      <c r="Y556" s="10"/>
      <c r="Z556" s="10"/>
      <c r="AA556" s="2"/>
      <c r="AB556" s="7"/>
      <c r="AC556" s="14"/>
      <c r="AD556" s="15"/>
      <c r="AE556" s="7"/>
      <c r="AG556" s="15"/>
      <c r="AJ556" s="2"/>
    </row>
    <row r="557" spans="1:36" s="12" customFormat="1" ht="14" customHeight="1" x14ac:dyDescent="0.2">
      <c r="A557" s="15"/>
      <c r="B557" s="10"/>
      <c r="C557" s="10"/>
      <c r="D557" s="13"/>
      <c r="E557" s="10"/>
      <c r="F557" s="10"/>
      <c r="G557" s="26"/>
      <c r="H557" s="10"/>
      <c r="I557" s="10"/>
      <c r="J557" s="10"/>
      <c r="K557" s="7"/>
      <c r="L557" s="13"/>
      <c r="M557" s="6"/>
      <c r="N557" s="7"/>
      <c r="O557" s="7"/>
      <c r="P557" s="2"/>
      <c r="Q557" s="2"/>
      <c r="R557" s="7"/>
      <c r="S557" s="13"/>
      <c r="T557" s="13"/>
      <c r="U557" s="8"/>
      <c r="V557" s="8"/>
      <c r="W557" s="8"/>
      <c r="X557" s="7"/>
      <c r="Y557" s="10"/>
      <c r="Z557" s="10"/>
      <c r="AA557" s="2"/>
      <c r="AB557" s="7"/>
      <c r="AC557" s="14"/>
      <c r="AD557" s="18"/>
      <c r="AE557" s="7"/>
      <c r="AG557" s="15"/>
      <c r="AJ557" s="2"/>
    </row>
    <row r="558" spans="1:36" s="12" customFormat="1" ht="14" customHeight="1" x14ac:dyDescent="0.2">
      <c r="B558" s="10"/>
      <c r="C558" s="10"/>
      <c r="D558" s="13"/>
      <c r="E558" s="10"/>
      <c r="F558" s="10"/>
      <c r="G558" s="26"/>
      <c r="H558" s="10"/>
      <c r="I558" s="10"/>
      <c r="J558" s="10"/>
      <c r="K558" s="10"/>
      <c r="L558" s="13"/>
      <c r="M558" s="6"/>
      <c r="N558" s="7"/>
      <c r="O558" s="7"/>
      <c r="P558" s="2"/>
      <c r="Q558" s="2"/>
      <c r="R558" s="7"/>
      <c r="S558" s="13"/>
      <c r="T558" s="13"/>
      <c r="U558" s="8"/>
      <c r="V558" s="8"/>
      <c r="W558" s="8"/>
      <c r="X558" s="7"/>
      <c r="Y558" s="10"/>
      <c r="Z558" s="10"/>
      <c r="AA558" s="2"/>
      <c r="AB558" s="7"/>
      <c r="AC558" s="14"/>
      <c r="AD558" s="15"/>
      <c r="AE558" s="7"/>
      <c r="AG558" s="15"/>
      <c r="AJ558" s="2"/>
    </row>
    <row r="559" spans="1:36" s="12" customFormat="1" ht="14" customHeight="1" x14ac:dyDescent="0.2">
      <c r="B559" s="10"/>
      <c r="C559" s="10"/>
      <c r="D559" s="13"/>
      <c r="E559" s="10"/>
      <c r="F559" s="10"/>
      <c r="G559" s="26"/>
      <c r="H559" s="10"/>
      <c r="I559" s="10"/>
      <c r="J559" s="10"/>
      <c r="K559" s="10"/>
      <c r="L559" s="13"/>
      <c r="M559" s="6"/>
      <c r="N559" s="7"/>
      <c r="O559" s="7"/>
      <c r="P559" s="2"/>
      <c r="Q559" s="2"/>
      <c r="R559" s="7"/>
      <c r="S559" s="13"/>
      <c r="T559" s="13"/>
      <c r="U559" s="8"/>
      <c r="V559" s="8"/>
      <c r="W559" s="8"/>
      <c r="X559" s="7"/>
      <c r="Y559" s="10"/>
      <c r="Z559" s="10"/>
      <c r="AA559" s="2"/>
      <c r="AB559" s="7"/>
      <c r="AC559" s="14"/>
      <c r="AD559" s="15"/>
      <c r="AE559" s="7"/>
      <c r="AG559" s="15"/>
      <c r="AJ559" s="2"/>
    </row>
    <row r="560" spans="1:36" s="12" customFormat="1" ht="14" customHeight="1" x14ac:dyDescent="0.2">
      <c r="B560" s="10"/>
      <c r="C560" s="10"/>
      <c r="D560" s="13"/>
      <c r="E560" s="10"/>
      <c r="F560" s="10"/>
      <c r="G560" s="26"/>
      <c r="H560" s="10"/>
      <c r="I560" s="10"/>
      <c r="J560" s="10"/>
      <c r="K560" s="10"/>
      <c r="L560" s="13"/>
      <c r="M560" s="13"/>
      <c r="N560" s="9"/>
      <c r="O560" s="9"/>
      <c r="P560" s="2"/>
      <c r="Q560" s="2"/>
      <c r="R560" s="7"/>
      <c r="S560" s="13"/>
      <c r="T560" s="13"/>
      <c r="U560" s="8"/>
      <c r="V560" s="8"/>
      <c r="W560" s="8"/>
      <c r="X560" s="7"/>
      <c r="Y560" s="10"/>
      <c r="Z560" s="10"/>
      <c r="AA560" s="2"/>
      <c r="AB560" s="7"/>
      <c r="AC560" s="14"/>
      <c r="AD560" s="15"/>
      <c r="AE560" s="7"/>
      <c r="AG560" s="15"/>
      <c r="AJ560" s="2"/>
    </row>
    <row r="561" spans="1:36" s="12" customFormat="1" ht="14" customHeight="1" x14ac:dyDescent="0.2">
      <c r="A561" s="15"/>
      <c r="B561" s="10"/>
      <c r="C561" s="10"/>
      <c r="D561" s="13"/>
      <c r="E561" s="10"/>
      <c r="F561" s="10"/>
      <c r="G561" s="26"/>
      <c r="H561" s="10"/>
      <c r="I561" s="10"/>
      <c r="J561" s="10"/>
      <c r="K561" s="7"/>
      <c r="L561" s="13"/>
      <c r="M561" s="13"/>
      <c r="N561" s="9"/>
      <c r="O561" s="9"/>
      <c r="P561" s="2"/>
      <c r="Q561" s="2"/>
      <c r="R561" s="7"/>
      <c r="S561" s="13"/>
      <c r="T561" s="13"/>
      <c r="U561" s="8"/>
      <c r="V561" s="8"/>
      <c r="W561" s="8"/>
      <c r="X561" s="7"/>
      <c r="Y561" s="10"/>
      <c r="Z561" s="10"/>
      <c r="AA561" s="2"/>
      <c r="AB561" s="7"/>
      <c r="AC561" s="14"/>
      <c r="AD561" s="15"/>
      <c r="AE561" s="7"/>
      <c r="AG561" s="15"/>
      <c r="AJ561" s="2"/>
    </row>
    <row r="562" spans="1:36" s="12" customFormat="1" ht="14" customHeight="1" x14ac:dyDescent="0.2">
      <c r="B562" s="10"/>
      <c r="C562" s="10"/>
      <c r="D562" s="13"/>
      <c r="E562" s="10"/>
      <c r="F562" s="10"/>
      <c r="G562" s="26"/>
      <c r="H562" s="10"/>
      <c r="I562" s="10"/>
      <c r="J562" s="10"/>
      <c r="K562" s="10"/>
      <c r="L562" s="13"/>
      <c r="M562" s="13"/>
      <c r="N562" s="9"/>
      <c r="O562" s="9"/>
      <c r="P562" s="2"/>
      <c r="Q562" s="2"/>
      <c r="R562" s="7"/>
      <c r="S562" s="13"/>
      <c r="T562" s="13"/>
      <c r="U562" s="8"/>
      <c r="V562" s="8"/>
      <c r="W562" s="8"/>
      <c r="X562" s="7"/>
      <c r="Y562" s="10"/>
      <c r="Z562" s="10"/>
      <c r="AA562" s="2"/>
      <c r="AB562" s="7"/>
      <c r="AC562" s="14"/>
      <c r="AD562" s="15"/>
      <c r="AE562" s="7"/>
      <c r="AG562" s="15"/>
      <c r="AJ562" s="2"/>
    </row>
    <row r="563" spans="1:36" s="12" customFormat="1" ht="14" customHeight="1" x14ac:dyDescent="0.2">
      <c r="A563" s="15"/>
      <c r="B563" s="10"/>
      <c r="C563" s="10"/>
      <c r="D563" s="13"/>
      <c r="E563" s="10"/>
      <c r="F563" s="10"/>
      <c r="G563" s="26"/>
      <c r="H563" s="10"/>
      <c r="I563" s="10"/>
      <c r="J563" s="10"/>
      <c r="K563" s="10"/>
      <c r="L563" s="13"/>
      <c r="M563" s="13"/>
      <c r="N563" s="9"/>
      <c r="O563" s="9"/>
      <c r="P563" s="2"/>
      <c r="Q563" s="2"/>
      <c r="R563" s="7"/>
      <c r="S563" s="13"/>
      <c r="T563" s="13"/>
      <c r="U563" s="8"/>
      <c r="V563" s="8"/>
      <c r="W563" s="8"/>
      <c r="X563" s="7"/>
      <c r="Y563" s="10"/>
      <c r="Z563" s="10"/>
      <c r="AA563" s="2"/>
      <c r="AB563" s="7"/>
      <c r="AC563" s="14"/>
      <c r="AD563" s="15"/>
      <c r="AE563" s="7"/>
      <c r="AG563" s="15"/>
      <c r="AJ563" s="2"/>
    </row>
    <row r="564" spans="1:36" s="12" customFormat="1" ht="14" customHeight="1" x14ac:dyDescent="0.2">
      <c r="B564" s="10"/>
      <c r="C564" s="10"/>
      <c r="D564" s="13"/>
      <c r="E564" s="10"/>
      <c r="F564" s="10"/>
      <c r="G564" s="26"/>
      <c r="H564" s="10"/>
      <c r="I564" s="10"/>
      <c r="J564" s="10"/>
      <c r="K564" s="10"/>
      <c r="L564" s="13"/>
      <c r="M564" s="13"/>
      <c r="N564" s="9"/>
      <c r="O564" s="9"/>
      <c r="P564" s="2"/>
      <c r="Q564" s="2"/>
      <c r="R564" s="7"/>
      <c r="S564" s="13"/>
      <c r="T564" s="13"/>
      <c r="U564" s="8"/>
      <c r="V564" s="8"/>
      <c r="W564" s="8"/>
      <c r="X564" s="7"/>
      <c r="Y564" s="10"/>
      <c r="Z564" s="10"/>
      <c r="AA564" s="2"/>
      <c r="AB564" s="7"/>
      <c r="AC564" s="14"/>
      <c r="AD564" s="15"/>
      <c r="AE564" s="7"/>
      <c r="AG564" s="15"/>
      <c r="AJ564" s="2"/>
    </row>
    <row r="565" spans="1:36" s="12" customFormat="1" ht="14" customHeight="1" x14ac:dyDescent="0.2">
      <c r="B565" s="10"/>
      <c r="C565" s="10"/>
      <c r="D565" s="13"/>
      <c r="E565" s="10"/>
      <c r="F565" s="10"/>
      <c r="G565" s="26"/>
      <c r="H565" s="10"/>
      <c r="I565" s="10"/>
      <c r="J565" s="10"/>
      <c r="K565" s="10"/>
      <c r="L565" s="13"/>
      <c r="M565" s="13"/>
      <c r="N565" s="9"/>
      <c r="O565" s="9"/>
      <c r="P565" s="2"/>
      <c r="Q565" s="2"/>
      <c r="R565" s="7"/>
      <c r="S565" s="13"/>
      <c r="T565" s="13"/>
      <c r="U565" s="8"/>
      <c r="V565" s="8"/>
      <c r="W565" s="8"/>
      <c r="X565" s="7"/>
      <c r="Y565" s="10"/>
      <c r="Z565" s="10"/>
      <c r="AA565" s="2"/>
      <c r="AB565" s="7"/>
      <c r="AC565" s="14"/>
      <c r="AD565" s="15"/>
      <c r="AE565" s="7"/>
      <c r="AG565" s="15"/>
      <c r="AJ565" s="2"/>
    </row>
    <row r="566" spans="1:36" s="12" customFormat="1" ht="14" customHeight="1" x14ac:dyDescent="0.2">
      <c r="B566" s="10"/>
      <c r="C566" s="10"/>
      <c r="D566" s="13"/>
      <c r="E566" s="10"/>
      <c r="F566" s="10"/>
      <c r="G566" s="26"/>
      <c r="H566" s="10"/>
      <c r="I566" s="10"/>
      <c r="J566" s="10"/>
      <c r="K566" s="10"/>
      <c r="L566" s="13"/>
      <c r="M566" s="13"/>
      <c r="N566" s="9"/>
      <c r="O566" s="9"/>
      <c r="P566" s="2"/>
      <c r="Q566" s="2"/>
      <c r="R566" s="7"/>
      <c r="S566" s="13"/>
      <c r="T566" s="13"/>
      <c r="U566" s="8"/>
      <c r="V566" s="8"/>
      <c r="W566" s="8"/>
      <c r="X566" s="7"/>
      <c r="Y566" s="10"/>
      <c r="Z566" s="10"/>
      <c r="AA566" s="2"/>
      <c r="AB566" s="7"/>
      <c r="AC566" s="14"/>
      <c r="AD566" s="15"/>
      <c r="AE566" s="7"/>
      <c r="AG566" s="15"/>
      <c r="AJ566" s="2"/>
    </row>
    <row r="567" spans="1:36" s="12" customFormat="1" ht="14" customHeight="1" x14ac:dyDescent="0.2">
      <c r="B567" s="10"/>
      <c r="C567" s="10"/>
      <c r="D567" s="13"/>
      <c r="E567" s="10"/>
      <c r="F567" s="10"/>
      <c r="G567" s="26"/>
      <c r="H567" s="10"/>
      <c r="I567" s="10"/>
      <c r="J567" s="10"/>
      <c r="K567" s="10"/>
      <c r="L567" s="13"/>
      <c r="M567" s="13"/>
      <c r="N567" s="9"/>
      <c r="O567" s="9"/>
      <c r="P567" s="2"/>
      <c r="Q567" s="2"/>
      <c r="R567" s="7"/>
      <c r="S567" s="13"/>
      <c r="T567" s="13"/>
      <c r="U567" s="8"/>
      <c r="V567" s="8"/>
      <c r="W567" s="8"/>
      <c r="X567" s="7"/>
      <c r="Y567" s="10"/>
      <c r="Z567" s="10"/>
      <c r="AA567" s="2"/>
      <c r="AB567" s="7"/>
      <c r="AC567" s="14"/>
      <c r="AD567" s="15"/>
      <c r="AE567" s="7"/>
      <c r="AG567" s="15"/>
      <c r="AJ567" s="2"/>
    </row>
    <row r="568" spans="1:36" s="12" customFormat="1" ht="14" customHeight="1" x14ac:dyDescent="0.2">
      <c r="A568" s="15"/>
      <c r="B568" s="10"/>
      <c r="C568" s="10"/>
      <c r="D568" s="13"/>
      <c r="E568" s="10"/>
      <c r="F568" s="10"/>
      <c r="G568" s="26"/>
      <c r="H568" s="10"/>
      <c r="I568" s="10"/>
      <c r="J568" s="10"/>
      <c r="K568" s="10"/>
      <c r="L568" s="13"/>
      <c r="M568" s="13"/>
      <c r="N568" s="9"/>
      <c r="O568" s="9"/>
      <c r="P568" s="2"/>
      <c r="Q568" s="2"/>
      <c r="R568" s="7"/>
      <c r="S568" s="13"/>
      <c r="T568" s="13"/>
      <c r="U568" s="8"/>
      <c r="V568" s="8"/>
      <c r="W568" s="8"/>
      <c r="X568" s="7"/>
      <c r="Y568" s="10"/>
      <c r="Z568" s="10"/>
      <c r="AA568" s="2"/>
      <c r="AB568" s="7"/>
      <c r="AC568" s="14"/>
      <c r="AD568" s="15"/>
      <c r="AE568" s="7"/>
      <c r="AG568" s="15"/>
      <c r="AJ568" s="2"/>
    </row>
    <row r="569" spans="1:36" s="12" customFormat="1" ht="14" customHeight="1" x14ac:dyDescent="0.2">
      <c r="B569" s="10"/>
      <c r="C569" s="10"/>
      <c r="D569" s="13"/>
      <c r="E569" s="10"/>
      <c r="F569" s="10"/>
      <c r="G569" s="26"/>
      <c r="H569" s="10"/>
      <c r="I569" s="10"/>
      <c r="J569" s="10"/>
      <c r="K569" s="10"/>
      <c r="L569" s="13"/>
      <c r="M569" s="13"/>
      <c r="N569" s="9"/>
      <c r="O569" s="9"/>
      <c r="P569" s="2"/>
      <c r="Q569" s="2"/>
      <c r="R569" s="7"/>
      <c r="S569" s="13"/>
      <c r="T569" s="13"/>
      <c r="U569" s="8"/>
      <c r="V569" s="8"/>
      <c r="W569" s="8"/>
      <c r="X569" s="7"/>
      <c r="Y569" s="10"/>
      <c r="Z569" s="10"/>
      <c r="AA569" s="2"/>
      <c r="AB569" s="7"/>
      <c r="AC569" s="14"/>
      <c r="AD569" s="15"/>
      <c r="AE569" s="7"/>
      <c r="AG569" s="15"/>
      <c r="AJ569" s="2"/>
    </row>
    <row r="570" spans="1:36" s="12" customFormat="1" ht="14" customHeight="1" x14ac:dyDescent="0.2">
      <c r="B570" s="10"/>
      <c r="C570" s="10"/>
      <c r="D570" s="13"/>
      <c r="E570" s="10"/>
      <c r="F570" s="10"/>
      <c r="G570" s="26"/>
      <c r="H570" s="10"/>
      <c r="I570" s="10"/>
      <c r="J570" s="10"/>
      <c r="K570" s="10"/>
      <c r="L570" s="13"/>
      <c r="M570" s="13"/>
      <c r="N570" s="9"/>
      <c r="O570" s="9"/>
      <c r="P570" s="2"/>
      <c r="Q570" s="2"/>
      <c r="R570" s="7"/>
      <c r="S570" s="13"/>
      <c r="T570" s="13"/>
      <c r="U570" s="8"/>
      <c r="V570" s="8"/>
      <c r="W570" s="8"/>
      <c r="X570" s="7"/>
      <c r="Y570" s="10"/>
      <c r="Z570" s="10"/>
      <c r="AA570" s="2"/>
      <c r="AB570" s="7"/>
      <c r="AC570" s="14"/>
      <c r="AD570" s="15"/>
      <c r="AE570" s="7"/>
      <c r="AG570" s="15"/>
      <c r="AJ570" s="2"/>
    </row>
    <row r="571" spans="1:36" s="12" customFormat="1" ht="14" customHeight="1" x14ac:dyDescent="0.2">
      <c r="B571" s="10"/>
      <c r="C571" s="10"/>
      <c r="D571" s="13"/>
      <c r="E571" s="10"/>
      <c r="F571" s="10"/>
      <c r="G571" s="26"/>
      <c r="H571" s="10"/>
      <c r="I571" s="10"/>
      <c r="J571" s="10"/>
      <c r="K571" s="10"/>
      <c r="L571" s="13"/>
      <c r="M571" s="13"/>
      <c r="N571" s="9"/>
      <c r="O571" s="9"/>
      <c r="P571" s="2"/>
      <c r="Q571" s="2"/>
      <c r="R571" s="7"/>
      <c r="S571" s="13"/>
      <c r="T571" s="13"/>
      <c r="U571" s="8"/>
      <c r="V571" s="8"/>
      <c r="W571" s="8"/>
      <c r="X571" s="7"/>
      <c r="Y571" s="10"/>
      <c r="Z571" s="10"/>
      <c r="AA571" s="2"/>
      <c r="AB571" s="7"/>
      <c r="AC571" s="14"/>
      <c r="AD571" s="15"/>
      <c r="AE571" s="7"/>
      <c r="AG571" s="15"/>
      <c r="AJ571" s="2"/>
    </row>
    <row r="572" spans="1:36" s="12" customFormat="1" ht="14" customHeight="1" x14ac:dyDescent="0.2">
      <c r="A572" s="15"/>
      <c r="B572" s="10"/>
      <c r="C572" s="10"/>
      <c r="D572" s="13"/>
      <c r="E572" s="10"/>
      <c r="F572" s="10"/>
      <c r="G572" s="26"/>
      <c r="H572" s="10"/>
      <c r="I572" s="10"/>
      <c r="J572" s="10"/>
      <c r="K572" s="10"/>
      <c r="L572" s="13"/>
      <c r="M572" s="13"/>
      <c r="N572" s="9"/>
      <c r="O572" s="9"/>
      <c r="P572" s="2"/>
      <c r="Q572" s="2"/>
      <c r="R572" s="7"/>
      <c r="S572" s="13"/>
      <c r="T572" s="13"/>
      <c r="U572" s="8"/>
      <c r="V572" s="8"/>
      <c r="W572" s="8"/>
      <c r="X572" s="7"/>
      <c r="Y572" s="10"/>
      <c r="Z572" s="10"/>
      <c r="AA572" s="2"/>
      <c r="AB572" s="7"/>
      <c r="AC572" s="14"/>
      <c r="AD572" s="15"/>
      <c r="AE572" s="7"/>
      <c r="AG572" s="15"/>
      <c r="AJ572" s="2"/>
    </row>
    <row r="573" spans="1:36" s="12" customFormat="1" ht="14" customHeight="1" x14ac:dyDescent="0.2">
      <c r="B573" s="10"/>
      <c r="C573" s="10"/>
      <c r="D573" s="13"/>
      <c r="E573" s="10"/>
      <c r="F573" s="10"/>
      <c r="G573" s="26"/>
      <c r="H573" s="10"/>
      <c r="I573" s="10"/>
      <c r="J573" s="10"/>
      <c r="K573" s="10"/>
      <c r="L573" s="13"/>
      <c r="M573" s="13"/>
      <c r="N573" s="9"/>
      <c r="O573" s="9"/>
      <c r="P573" s="2"/>
      <c r="Q573" s="2"/>
      <c r="R573" s="7"/>
      <c r="S573" s="13"/>
      <c r="T573" s="13"/>
      <c r="U573" s="8"/>
      <c r="V573" s="8"/>
      <c r="W573" s="8"/>
      <c r="X573" s="7"/>
      <c r="Y573" s="10"/>
      <c r="Z573" s="10"/>
      <c r="AA573" s="2"/>
      <c r="AB573" s="7"/>
      <c r="AC573" s="14"/>
      <c r="AD573" s="15"/>
      <c r="AE573" s="7"/>
      <c r="AG573" s="15"/>
      <c r="AJ573" s="2"/>
    </row>
    <row r="574" spans="1:36" s="12" customFormat="1" ht="14" customHeight="1" x14ac:dyDescent="0.2">
      <c r="B574" s="10"/>
      <c r="C574" s="10"/>
      <c r="D574" s="13"/>
      <c r="E574" s="10"/>
      <c r="F574" s="10"/>
      <c r="G574" s="26"/>
      <c r="H574" s="10"/>
      <c r="I574" s="10"/>
      <c r="J574" s="10"/>
      <c r="K574" s="10"/>
      <c r="L574" s="13"/>
      <c r="M574" s="13"/>
      <c r="N574" s="9"/>
      <c r="O574" s="9"/>
      <c r="P574" s="2"/>
      <c r="Q574" s="2"/>
      <c r="R574" s="7"/>
      <c r="S574" s="13"/>
      <c r="T574" s="13"/>
      <c r="U574" s="8"/>
      <c r="V574" s="8"/>
      <c r="W574" s="8"/>
      <c r="X574" s="7"/>
      <c r="Y574" s="10"/>
      <c r="Z574" s="10"/>
      <c r="AA574" s="2"/>
      <c r="AB574" s="7"/>
      <c r="AC574" s="14"/>
      <c r="AD574" s="15"/>
      <c r="AE574" s="7"/>
      <c r="AG574" s="15"/>
      <c r="AJ574" s="2"/>
    </row>
    <row r="575" spans="1:36" s="12" customFormat="1" ht="14" customHeight="1" x14ac:dyDescent="0.2">
      <c r="A575" s="15"/>
      <c r="B575" s="10"/>
      <c r="C575" s="10"/>
      <c r="D575" s="13"/>
      <c r="E575" s="10"/>
      <c r="F575" s="10"/>
      <c r="G575" s="26"/>
      <c r="H575" s="10"/>
      <c r="I575" s="10"/>
      <c r="J575" s="10"/>
      <c r="K575" s="10"/>
      <c r="L575" s="13"/>
      <c r="M575" s="13"/>
      <c r="N575" s="9"/>
      <c r="O575" s="9"/>
      <c r="P575" s="2"/>
      <c r="Q575" s="2"/>
      <c r="R575" s="7"/>
      <c r="S575" s="13"/>
      <c r="T575" s="13"/>
      <c r="U575" s="8"/>
      <c r="V575" s="8"/>
      <c r="W575" s="8"/>
      <c r="X575" s="7"/>
      <c r="Y575" s="10"/>
      <c r="Z575" s="10"/>
      <c r="AA575" s="2"/>
      <c r="AB575" s="7"/>
      <c r="AC575" s="14"/>
      <c r="AD575" s="15"/>
      <c r="AE575" s="7"/>
      <c r="AG575" s="15"/>
      <c r="AJ575" s="2"/>
    </row>
    <row r="576" spans="1:36" s="12" customFormat="1" ht="14" customHeight="1" x14ac:dyDescent="0.2">
      <c r="A576" s="15"/>
      <c r="B576" s="10"/>
      <c r="C576" s="10"/>
      <c r="D576" s="13"/>
      <c r="E576" s="10"/>
      <c r="F576" s="10"/>
      <c r="G576" s="26"/>
      <c r="H576" s="10"/>
      <c r="I576" s="10"/>
      <c r="J576" s="10"/>
      <c r="K576" s="10"/>
      <c r="L576" s="13"/>
      <c r="M576" s="13"/>
      <c r="N576" s="9"/>
      <c r="O576" s="9"/>
      <c r="P576" s="2"/>
      <c r="Q576" s="2"/>
      <c r="R576" s="7"/>
      <c r="S576" s="13"/>
      <c r="T576" s="13"/>
      <c r="U576" s="8"/>
      <c r="V576" s="8"/>
      <c r="W576" s="8"/>
      <c r="X576" s="7"/>
      <c r="Y576" s="10"/>
      <c r="Z576" s="10"/>
      <c r="AA576" s="2"/>
      <c r="AB576" s="7"/>
      <c r="AC576" s="14"/>
      <c r="AD576" s="15"/>
      <c r="AE576" s="7"/>
      <c r="AG576" s="15"/>
      <c r="AJ576" s="2"/>
    </row>
    <row r="577" spans="1:36" s="12" customFormat="1" ht="14" customHeight="1" x14ac:dyDescent="0.2">
      <c r="A577" s="15"/>
      <c r="B577" s="10"/>
      <c r="C577" s="10"/>
      <c r="D577" s="13"/>
      <c r="E577" s="10"/>
      <c r="F577" s="10"/>
      <c r="G577" s="26"/>
      <c r="H577" s="10"/>
      <c r="I577" s="10"/>
      <c r="J577" s="10"/>
      <c r="K577" s="10"/>
      <c r="L577" s="13"/>
      <c r="M577" s="13"/>
      <c r="N577" s="9"/>
      <c r="O577" s="9"/>
      <c r="P577" s="2"/>
      <c r="Q577" s="2"/>
      <c r="R577" s="7"/>
      <c r="S577" s="13"/>
      <c r="T577" s="13"/>
      <c r="U577" s="8"/>
      <c r="V577" s="8"/>
      <c r="W577" s="8"/>
      <c r="X577" s="7"/>
      <c r="Y577" s="10"/>
      <c r="Z577" s="10"/>
      <c r="AA577" s="2"/>
      <c r="AB577" s="7"/>
      <c r="AC577" s="14"/>
      <c r="AD577" s="15"/>
      <c r="AE577" s="7"/>
      <c r="AG577" s="15"/>
      <c r="AJ577" s="2"/>
    </row>
    <row r="578" spans="1:36" s="12" customFormat="1" ht="14" customHeight="1" x14ac:dyDescent="0.2">
      <c r="A578" s="15"/>
      <c r="B578" s="10"/>
      <c r="C578" s="10"/>
      <c r="D578" s="13"/>
      <c r="E578" s="10"/>
      <c r="F578" s="10"/>
      <c r="G578" s="26"/>
      <c r="H578" s="10"/>
      <c r="I578" s="10"/>
      <c r="J578" s="10"/>
      <c r="K578" s="10"/>
      <c r="L578" s="13"/>
      <c r="M578" s="13"/>
      <c r="N578" s="9"/>
      <c r="O578" s="9"/>
      <c r="P578" s="2"/>
      <c r="Q578" s="2"/>
      <c r="R578" s="7"/>
      <c r="S578" s="13"/>
      <c r="T578" s="13"/>
      <c r="U578" s="8"/>
      <c r="V578" s="8"/>
      <c r="W578" s="8"/>
      <c r="X578" s="7"/>
      <c r="Y578" s="10"/>
      <c r="Z578" s="10"/>
      <c r="AA578" s="2"/>
      <c r="AB578" s="7"/>
      <c r="AC578" s="14"/>
      <c r="AD578" s="15"/>
      <c r="AE578" s="7"/>
      <c r="AG578" s="15"/>
      <c r="AJ578" s="2"/>
    </row>
    <row r="579" spans="1:36" s="12" customFormat="1" ht="14" customHeight="1" x14ac:dyDescent="0.2">
      <c r="B579" s="10"/>
      <c r="C579" s="10"/>
      <c r="D579" s="6"/>
      <c r="E579" s="10"/>
      <c r="F579" s="10"/>
      <c r="G579" s="26"/>
      <c r="H579" s="10"/>
      <c r="I579" s="10"/>
      <c r="J579" s="10"/>
      <c r="K579" s="10"/>
      <c r="L579" s="13"/>
      <c r="M579" s="6"/>
      <c r="N579" s="7"/>
      <c r="O579" s="7"/>
      <c r="P579" s="2"/>
      <c r="Q579" s="2"/>
      <c r="R579" s="7"/>
      <c r="S579" s="13"/>
      <c r="T579" s="13"/>
      <c r="U579" s="8"/>
      <c r="V579" s="8"/>
      <c r="W579" s="8"/>
      <c r="X579" s="7"/>
      <c r="Y579" s="10"/>
      <c r="Z579" s="10"/>
      <c r="AA579" s="2"/>
      <c r="AB579" s="7"/>
      <c r="AC579" s="14"/>
      <c r="AD579" s="15"/>
      <c r="AE579" s="7"/>
      <c r="AG579" s="15"/>
      <c r="AJ579" s="2"/>
    </row>
    <row r="580" spans="1:36" s="12" customFormat="1" ht="14" customHeight="1" x14ac:dyDescent="0.2">
      <c r="A580" s="15"/>
      <c r="B580" s="10"/>
      <c r="C580" s="10"/>
      <c r="D580" s="13"/>
      <c r="E580" s="10"/>
      <c r="F580" s="10"/>
      <c r="G580" s="26"/>
      <c r="H580" s="10"/>
      <c r="I580" s="10"/>
      <c r="J580" s="10"/>
      <c r="K580" s="10"/>
      <c r="L580" s="13"/>
      <c r="M580" s="13"/>
      <c r="N580" s="9"/>
      <c r="O580" s="9"/>
      <c r="P580" s="2"/>
      <c r="Q580" s="2"/>
      <c r="R580" s="7"/>
      <c r="S580" s="13"/>
      <c r="T580" s="13"/>
      <c r="U580" s="8"/>
      <c r="V580" s="8"/>
      <c r="W580" s="8"/>
      <c r="X580" s="7"/>
      <c r="Y580" s="10"/>
      <c r="Z580" s="10"/>
      <c r="AA580" s="2"/>
      <c r="AB580" s="7"/>
      <c r="AC580" s="14"/>
      <c r="AD580" s="15"/>
      <c r="AE580" s="7"/>
      <c r="AG580" s="15"/>
      <c r="AJ580" s="2"/>
    </row>
    <row r="581" spans="1:36" s="12" customFormat="1" ht="14" customHeight="1" x14ac:dyDescent="0.2">
      <c r="A581" s="15"/>
      <c r="B581" s="10"/>
      <c r="C581" s="10"/>
      <c r="D581" s="13"/>
      <c r="E581" s="10"/>
      <c r="F581" s="10"/>
      <c r="G581" s="26"/>
      <c r="H581" s="10"/>
      <c r="I581" s="10"/>
      <c r="J581" s="10"/>
      <c r="K581" s="7"/>
      <c r="L581" s="13"/>
      <c r="M581" s="6"/>
      <c r="N581" s="7"/>
      <c r="O581" s="7"/>
      <c r="P581" s="2"/>
      <c r="Q581" s="2"/>
      <c r="R581" s="7"/>
      <c r="S581" s="13"/>
      <c r="T581" s="13"/>
      <c r="U581" s="8"/>
      <c r="V581" s="8"/>
      <c r="W581" s="8"/>
      <c r="X581" s="7"/>
      <c r="Y581" s="10"/>
      <c r="Z581" s="10"/>
      <c r="AA581" s="2"/>
      <c r="AB581" s="7"/>
      <c r="AC581" s="14"/>
      <c r="AD581" s="18"/>
      <c r="AE581" s="7"/>
      <c r="AG581" s="15"/>
      <c r="AJ581" s="2"/>
    </row>
    <row r="582" spans="1:36" s="12" customFormat="1" ht="14" customHeight="1" x14ac:dyDescent="0.2">
      <c r="B582" s="10"/>
      <c r="C582" s="10"/>
      <c r="D582" s="6"/>
      <c r="E582" s="10"/>
      <c r="F582" s="10"/>
      <c r="G582" s="26"/>
      <c r="H582" s="10"/>
      <c r="I582" s="10"/>
      <c r="J582" s="10"/>
      <c r="K582" s="10"/>
      <c r="L582" s="6"/>
      <c r="M582" s="13"/>
      <c r="N582" s="9"/>
      <c r="O582" s="9"/>
      <c r="P582" s="2"/>
      <c r="Q582" s="2"/>
      <c r="R582" s="7"/>
      <c r="S582" s="13"/>
      <c r="T582" s="13"/>
      <c r="U582" s="8"/>
      <c r="V582" s="8"/>
      <c r="W582" s="8"/>
      <c r="X582" s="7"/>
      <c r="Y582" s="10"/>
      <c r="Z582" s="10"/>
      <c r="AA582" s="2"/>
      <c r="AB582" s="7"/>
      <c r="AC582" s="14"/>
      <c r="AD582" s="15"/>
      <c r="AE582" s="7"/>
      <c r="AG582" s="15"/>
      <c r="AJ582" s="2"/>
    </row>
    <row r="583" spans="1:36" s="12" customFormat="1" ht="14" customHeight="1" x14ac:dyDescent="0.2">
      <c r="B583" s="10"/>
      <c r="C583" s="10"/>
      <c r="D583" s="13"/>
      <c r="E583" s="10"/>
      <c r="F583" s="10"/>
      <c r="G583" s="26"/>
      <c r="H583" s="10"/>
      <c r="I583" s="10"/>
      <c r="J583" s="10"/>
      <c r="K583" s="10"/>
      <c r="L583" s="13"/>
      <c r="M583" s="6"/>
      <c r="N583" s="7"/>
      <c r="O583" s="7"/>
      <c r="P583" s="2"/>
      <c r="Q583" s="2"/>
      <c r="R583" s="7"/>
      <c r="S583" s="13"/>
      <c r="T583" s="13"/>
      <c r="U583" s="8"/>
      <c r="V583" s="8"/>
      <c r="W583" s="8"/>
      <c r="X583" s="7"/>
      <c r="Y583" s="10"/>
      <c r="Z583" s="10"/>
      <c r="AA583" s="2"/>
      <c r="AB583" s="7"/>
      <c r="AC583" s="14"/>
      <c r="AD583" s="15"/>
      <c r="AE583" s="7"/>
      <c r="AG583" s="15"/>
      <c r="AJ583" s="2"/>
    </row>
    <row r="584" spans="1:36" s="12" customFormat="1" ht="14" customHeight="1" x14ac:dyDescent="0.2">
      <c r="B584" s="10"/>
      <c r="C584" s="10"/>
      <c r="D584" s="13"/>
      <c r="E584" s="10"/>
      <c r="F584" s="10"/>
      <c r="G584" s="26"/>
      <c r="H584" s="10"/>
      <c r="I584" s="10"/>
      <c r="J584" s="10"/>
      <c r="K584" s="10"/>
      <c r="L584" s="13"/>
      <c r="M584" s="6"/>
      <c r="N584" s="7"/>
      <c r="O584" s="7"/>
      <c r="P584" s="2"/>
      <c r="Q584" s="2"/>
      <c r="R584" s="7"/>
      <c r="S584" s="13"/>
      <c r="T584" s="13"/>
      <c r="U584" s="8"/>
      <c r="V584" s="8"/>
      <c r="W584" s="8"/>
      <c r="X584" s="7"/>
      <c r="Y584" s="10"/>
      <c r="Z584" s="10"/>
      <c r="AA584" s="2"/>
      <c r="AB584" s="7"/>
      <c r="AC584" s="14"/>
      <c r="AD584" s="15"/>
      <c r="AE584" s="7"/>
      <c r="AG584" s="15"/>
      <c r="AJ584" s="2"/>
    </row>
    <row r="585" spans="1:36" s="12" customFormat="1" ht="14" customHeight="1" x14ac:dyDescent="0.2">
      <c r="B585" s="10"/>
      <c r="C585" s="10"/>
      <c r="D585" s="13"/>
      <c r="E585" s="10"/>
      <c r="F585" s="10"/>
      <c r="G585" s="26"/>
      <c r="H585" s="10"/>
      <c r="I585" s="10"/>
      <c r="J585" s="10"/>
      <c r="K585" s="10"/>
      <c r="L585" s="13"/>
      <c r="M585" s="6"/>
      <c r="N585" s="7"/>
      <c r="O585" s="7"/>
      <c r="P585" s="2"/>
      <c r="Q585" s="2"/>
      <c r="R585" s="7"/>
      <c r="S585" s="13"/>
      <c r="T585" s="13"/>
      <c r="U585" s="8"/>
      <c r="V585" s="8"/>
      <c r="W585" s="8"/>
      <c r="X585" s="7"/>
      <c r="Y585" s="10"/>
      <c r="Z585" s="10"/>
      <c r="AA585" s="2"/>
      <c r="AB585" s="7"/>
      <c r="AC585" s="14"/>
      <c r="AD585" s="15"/>
      <c r="AE585" s="7"/>
      <c r="AG585" s="15"/>
      <c r="AJ585" s="2"/>
    </row>
    <row r="586" spans="1:36" s="12" customFormat="1" ht="14" customHeight="1" x14ac:dyDescent="0.2">
      <c r="A586" s="15"/>
      <c r="B586" s="10"/>
      <c r="C586" s="10"/>
      <c r="D586" s="13"/>
      <c r="E586" s="10"/>
      <c r="F586" s="10"/>
      <c r="G586" s="26"/>
      <c r="H586" s="10"/>
      <c r="I586" s="10"/>
      <c r="J586" s="10"/>
      <c r="K586" s="7"/>
      <c r="L586" s="13"/>
      <c r="M586" s="13"/>
      <c r="N586" s="9"/>
      <c r="O586" s="9"/>
      <c r="P586" s="2"/>
      <c r="Q586" s="2"/>
      <c r="R586" s="7"/>
      <c r="S586" s="13"/>
      <c r="T586" s="13"/>
      <c r="U586" s="8"/>
      <c r="V586" s="8"/>
      <c r="W586" s="8"/>
      <c r="X586" s="7"/>
      <c r="Y586" s="10"/>
      <c r="Z586" s="10"/>
      <c r="AA586" s="2"/>
      <c r="AB586" s="7"/>
      <c r="AC586" s="14"/>
      <c r="AD586" s="15"/>
      <c r="AE586" s="7"/>
      <c r="AG586" s="15"/>
      <c r="AJ586" s="2"/>
    </row>
    <row r="587" spans="1:36" s="12" customFormat="1" ht="14" customHeight="1" x14ac:dyDescent="0.2">
      <c r="A587" s="15"/>
      <c r="B587" s="10"/>
      <c r="C587" s="10"/>
      <c r="D587" s="13"/>
      <c r="E587" s="10"/>
      <c r="F587" s="10"/>
      <c r="G587" s="26"/>
      <c r="H587" s="10"/>
      <c r="I587" s="10"/>
      <c r="J587" s="10"/>
      <c r="K587" s="10"/>
      <c r="L587" s="13"/>
      <c r="M587" s="13"/>
      <c r="N587" s="9"/>
      <c r="O587" s="9"/>
      <c r="P587" s="2"/>
      <c r="Q587" s="2"/>
      <c r="R587" s="7"/>
      <c r="S587" s="13"/>
      <c r="T587" s="13"/>
      <c r="U587" s="8"/>
      <c r="V587" s="8"/>
      <c r="W587" s="8"/>
      <c r="X587" s="7"/>
      <c r="Y587" s="10"/>
      <c r="Z587" s="10"/>
      <c r="AA587" s="2"/>
      <c r="AB587" s="7"/>
      <c r="AC587" s="14"/>
      <c r="AD587" s="15"/>
      <c r="AE587" s="7"/>
      <c r="AG587" s="15"/>
      <c r="AJ587" s="2"/>
    </row>
    <row r="588" spans="1:36" s="12" customFormat="1" ht="14" customHeight="1" x14ac:dyDescent="0.2">
      <c r="A588" s="15"/>
      <c r="B588" s="10"/>
      <c r="C588" s="10"/>
      <c r="D588" s="13"/>
      <c r="E588" s="10"/>
      <c r="F588" s="10"/>
      <c r="G588" s="26"/>
      <c r="H588" s="10"/>
      <c r="I588" s="10"/>
      <c r="J588" s="10"/>
      <c r="K588" s="10"/>
      <c r="L588" s="13"/>
      <c r="M588" s="13"/>
      <c r="N588" s="9"/>
      <c r="O588" s="9"/>
      <c r="P588" s="2"/>
      <c r="Q588" s="2"/>
      <c r="R588" s="7"/>
      <c r="S588" s="13"/>
      <c r="T588" s="13"/>
      <c r="U588" s="8"/>
      <c r="V588" s="8"/>
      <c r="W588" s="8"/>
      <c r="X588" s="7"/>
      <c r="Y588" s="10"/>
      <c r="Z588" s="10"/>
      <c r="AA588" s="2"/>
      <c r="AB588" s="7"/>
      <c r="AC588" s="14"/>
      <c r="AD588" s="15"/>
      <c r="AE588" s="7"/>
      <c r="AG588" s="15"/>
      <c r="AJ588" s="2"/>
    </row>
    <row r="589" spans="1:36" s="12" customFormat="1" ht="14" customHeight="1" x14ac:dyDescent="0.2">
      <c r="A589" s="15"/>
      <c r="B589" s="10"/>
      <c r="C589" s="10"/>
      <c r="D589" s="13"/>
      <c r="E589" s="10"/>
      <c r="F589" s="10"/>
      <c r="G589" s="26"/>
      <c r="H589" s="10"/>
      <c r="I589" s="10"/>
      <c r="J589" s="10"/>
      <c r="K589" s="10"/>
      <c r="L589" s="13"/>
      <c r="M589" s="13"/>
      <c r="N589" s="9"/>
      <c r="O589" s="9"/>
      <c r="P589" s="2"/>
      <c r="Q589" s="2"/>
      <c r="R589" s="7"/>
      <c r="S589" s="13"/>
      <c r="T589" s="13"/>
      <c r="U589" s="8"/>
      <c r="V589" s="8"/>
      <c r="W589" s="8"/>
      <c r="X589" s="7"/>
      <c r="Y589" s="10"/>
      <c r="Z589" s="10"/>
      <c r="AA589" s="2"/>
      <c r="AB589" s="7"/>
      <c r="AC589" s="14"/>
      <c r="AD589" s="15"/>
      <c r="AE589" s="7"/>
      <c r="AG589" s="15"/>
      <c r="AJ589" s="2"/>
    </row>
    <row r="590" spans="1:36" s="12" customFormat="1" ht="14" customHeight="1" x14ac:dyDescent="0.2">
      <c r="A590" s="15"/>
      <c r="B590" s="10"/>
      <c r="C590" s="10"/>
      <c r="D590" s="13"/>
      <c r="E590" s="10"/>
      <c r="F590" s="10"/>
      <c r="G590" s="26"/>
      <c r="H590" s="10"/>
      <c r="I590" s="10"/>
      <c r="J590" s="10"/>
      <c r="K590" s="9"/>
      <c r="L590" s="13"/>
      <c r="M590" s="6"/>
      <c r="N590" s="7"/>
      <c r="O590" s="7"/>
      <c r="P590" s="2"/>
      <c r="Q590" s="2"/>
      <c r="R590" s="7"/>
      <c r="S590" s="13"/>
      <c r="T590" s="13"/>
      <c r="U590" s="8"/>
      <c r="V590" s="8"/>
      <c r="W590" s="8"/>
      <c r="X590" s="7"/>
      <c r="Y590" s="10"/>
      <c r="Z590" s="10"/>
      <c r="AA590" s="2"/>
      <c r="AB590" s="7"/>
      <c r="AC590" s="14"/>
      <c r="AD590" s="15"/>
      <c r="AE590" s="7"/>
      <c r="AG590" s="15"/>
      <c r="AJ590" s="2"/>
    </row>
    <row r="591" spans="1:36" s="12" customFormat="1" ht="14" customHeight="1" x14ac:dyDescent="0.2">
      <c r="A591" s="15"/>
      <c r="B591" s="10"/>
      <c r="C591" s="10"/>
      <c r="D591" s="13"/>
      <c r="E591" s="10"/>
      <c r="F591" s="10"/>
      <c r="G591" s="26"/>
      <c r="H591" s="10"/>
      <c r="I591" s="10"/>
      <c r="J591" s="10"/>
      <c r="K591" s="7"/>
      <c r="L591" s="13"/>
      <c r="M591" s="6"/>
      <c r="N591" s="7"/>
      <c r="O591" s="7"/>
      <c r="P591" s="2"/>
      <c r="Q591" s="2"/>
      <c r="R591" s="7"/>
      <c r="S591" s="13"/>
      <c r="T591" s="13"/>
      <c r="U591" s="8"/>
      <c r="V591" s="8"/>
      <c r="W591" s="8"/>
      <c r="X591" s="7"/>
      <c r="Y591" s="10"/>
      <c r="Z591" s="10"/>
      <c r="AA591" s="2"/>
      <c r="AB591" s="7"/>
      <c r="AC591" s="14"/>
      <c r="AD591" s="15"/>
      <c r="AE591" s="7"/>
      <c r="AG591" s="15"/>
      <c r="AJ591" s="2"/>
    </row>
    <row r="592" spans="1:36" s="12" customFormat="1" ht="14" customHeight="1" x14ac:dyDescent="0.2">
      <c r="A592" s="15"/>
      <c r="B592" s="10"/>
      <c r="C592" s="10"/>
      <c r="D592" s="13"/>
      <c r="E592" s="10"/>
      <c r="F592" s="10"/>
      <c r="G592" s="26"/>
      <c r="H592" s="10"/>
      <c r="I592" s="10"/>
      <c r="J592" s="10"/>
      <c r="K592" s="9"/>
      <c r="L592" s="13"/>
      <c r="M592" s="6"/>
      <c r="N592" s="7"/>
      <c r="O592" s="7"/>
      <c r="P592" s="2"/>
      <c r="Q592" s="2"/>
      <c r="R592" s="7"/>
      <c r="S592" s="13"/>
      <c r="T592" s="13"/>
      <c r="U592" s="8"/>
      <c r="V592" s="8"/>
      <c r="W592" s="8"/>
      <c r="X592" s="7"/>
      <c r="Y592" s="10"/>
      <c r="Z592" s="10"/>
      <c r="AA592" s="2"/>
      <c r="AB592" s="7"/>
      <c r="AC592" s="14"/>
      <c r="AD592" s="15"/>
      <c r="AE592" s="7"/>
      <c r="AG592" s="15"/>
      <c r="AJ592" s="2"/>
    </row>
    <row r="593" spans="1:36" s="12" customFormat="1" ht="14" customHeight="1" x14ac:dyDescent="0.2">
      <c r="A593" s="15"/>
      <c r="B593" s="10"/>
      <c r="C593" s="10"/>
      <c r="D593" s="13"/>
      <c r="E593" s="10"/>
      <c r="F593" s="10"/>
      <c r="G593" s="26"/>
      <c r="H593" s="10"/>
      <c r="I593" s="10"/>
      <c r="J593" s="10"/>
      <c r="K593" s="9"/>
      <c r="L593" s="13"/>
      <c r="M593" s="6"/>
      <c r="N593" s="7"/>
      <c r="O593" s="7"/>
      <c r="P593" s="2"/>
      <c r="Q593" s="2"/>
      <c r="R593" s="7"/>
      <c r="S593" s="13"/>
      <c r="T593" s="13"/>
      <c r="U593" s="8"/>
      <c r="V593" s="8"/>
      <c r="W593" s="8"/>
      <c r="X593" s="7"/>
      <c r="Y593" s="10"/>
      <c r="Z593" s="10"/>
      <c r="AA593" s="2"/>
      <c r="AB593" s="7"/>
      <c r="AC593" s="14"/>
      <c r="AD593" s="15"/>
      <c r="AE593" s="7"/>
      <c r="AG593" s="15"/>
      <c r="AJ593" s="2"/>
    </row>
    <row r="594" spans="1:36" s="12" customFormat="1" ht="14" customHeight="1" x14ac:dyDescent="0.2">
      <c r="A594" s="15"/>
      <c r="B594" s="10"/>
      <c r="C594" s="10"/>
      <c r="D594" s="13"/>
      <c r="E594" s="10"/>
      <c r="F594" s="10"/>
      <c r="G594" s="26"/>
      <c r="H594" s="10"/>
      <c r="I594" s="10"/>
      <c r="J594" s="10"/>
      <c r="K594" s="10"/>
      <c r="L594" s="13"/>
      <c r="M594" s="13"/>
      <c r="N594" s="9"/>
      <c r="O594" s="9"/>
      <c r="P594" s="2"/>
      <c r="Q594" s="2"/>
      <c r="R594" s="7"/>
      <c r="S594" s="13"/>
      <c r="T594" s="13"/>
      <c r="U594" s="8"/>
      <c r="V594" s="8"/>
      <c r="W594" s="8"/>
      <c r="X594" s="7"/>
      <c r="Y594" s="10"/>
      <c r="Z594" s="10"/>
      <c r="AA594" s="2"/>
      <c r="AB594" s="7"/>
      <c r="AC594" s="14"/>
      <c r="AD594" s="15"/>
      <c r="AE594" s="7"/>
      <c r="AG594" s="15"/>
      <c r="AJ594" s="2"/>
    </row>
    <row r="595" spans="1:36" s="12" customFormat="1" ht="14" customHeight="1" x14ac:dyDescent="0.2">
      <c r="A595" s="15"/>
      <c r="B595" s="10"/>
      <c r="C595" s="10"/>
      <c r="D595" s="13"/>
      <c r="E595" s="10"/>
      <c r="F595" s="10"/>
      <c r="G595" s="26"/>
      <c r="H595" s="10"/>
      <c r="I595" s="10"/>
      <c r="J595" s="10"/>
      <c r="K595" s="10"/>
      <c r="L595" s="13"/>
      <c r="M595" s="13"/>
      <c r="N595" s="9"/>
      <c r="O595" s="9"/>
      <c r="P595" s="2"/>
      <c r="Q595" s="2"/>
      <c r="R595" s="7"/>
      <c r="S595" s="13"/>
      <c r="T595" s="13"/>
      <c r="U595" s="8"/>
      <c r="V595" s="8"/>
      <c r="W595" s="8"/>
      <c r="X595" s="7"/>
      <c r="Y595" s="10"/>
      <c r="Z595" s="10"/>
      <c r="AA595" s="2"/>
      <c r="AB595" s="7"/>
      <c r="AC595" s="14"/>
      <c r="AD595" s="15"/>
      <c r="AE595" s="7"/>
      <c r="AG595" s="15"/>
      <c r="AJ595" s="2"/>
    </row>
    <row r="596" spans="1:36" s="12" customFormat="1" ht="14" customHeight="1" x14ac:dyDescent="0.2">
      <c r="A596" s="15"/>
      <c r="B596" s="10"/>
      <c r="C596" s="10"/>
      <c r="D596" s="13"/>
      <c r="E596" s="10"/>
      <c r="F596" s="10"/>
      <c r="G596" s="26"/>
      <c r="H596" s="10"/>
      <c r="I596" s="10"/>
      <c r="J596" s="10"/>
      <c r="K596" s="10"/>
      <c r="L596" s="13"/>
      <c r="M596" s="6"/>
      <c r="N596" s="7"/>
      <c r="O596" s="7"/>
      <c r="P596" s="2"/>
      <c r="Q596" s="2"/>
      <c r="R596" s="7"/>
      <c r="S596" s="13"/>
      <c r="T596" s="13"/>
      <c r="U596" s="8"/>
      <c r="V596" s="8"/>
      <c r="W596" s="8"/>
      <c r="X596" s="7"/>
      <c r="Y596" s="10"/>
      <c r="Z596" s="10"/>
      <c r="AA596" s="2"/>
      <c r="AB596" s="7"/>
      <c r="AC596" s="14"/>
      <c r="AD596" s="15"/>
      <c r="AE596" s="7"/>
      <c r="AG596" s="15"/>
      <c r="AJ596" s="2"/>
    </row>
    <row r="597" spans="1:36" s="12" customFormat="1" ht="14" customHeight="1" x14ac:dyDescent="0.2">
      <c r="A597" s="15"/>
      <c r="B597" s="10"/>
      <c r="C597" s="10"/>
      <c r="D597" s="13"/>
      <c r="E597" s="10"/>
      <c r="F597" s="10"/>
      <c r="G597" s="26"/>
      <c r="H597" s="10"/>
      <c r="I597" s="10"/>
      <c r="J597" s="10"/>
      <c r="K597" s="10"/>
      <c r="L597" s="13"/>
      <c r="M597" s="6"/>
      <c r="N597" s="7"/>
      <c r="O597" s="7"/>
      <c r="P597" s="2"/>
      <c r="Q597" s="2"/>
      <c r="R597" s="7"/>
      <c r="S597" s="13"/>
      <c r="T597" s="13"/>
      <c r="U597" s="8"/>
      <c r="V597" s="8"/>
      <c r="W597" s="8"/>
      <c r="X597" s="7"/>
      <c r="Y597" s="10"/>
      <c r="Z597" s="10"/>
      <c r="AA597" s="2"/>
      <c r="AB597" s="7"/>
      <c r="AC597" s="14"/>
      <c r="AD597" s="15"/>
      <c r="AE597" s="7"/>
      <c r="AG597" s="15"/>
      <c r="AJ597" s="2"/>
    </row>
    <row r="598" spans="1:36" s="12" customFormat="1" ht="14" customHeight="1" x14ac:dyDescent="0.2">
      <c r="A598" s="15"/>
      <c r="B598" s="10"/>
      <c r="C598" s="10"/>
      <c r="D598" s="13"/>
      <c r="E598" s="10"/>
      <c r="F598" s="10"/>
      <c r="G598" s="26"/>
      <c r="H598" s="10"/>
      <c r="I598" s="10"/>
      <c r="J598" s="10"/>
      <c r="K598" s="10"/>
      <c r="L598" s="13"/>
      <c r="M598" s="13"/>
      <c r="N598" s="9"/>
      <c r="O598" s="9"/>
      <c r="P598" s="2"/>
      <c r="Q598" s="2"/>
      <c r="R598" s="7"/>
      <c r="S598" s="13"/>
      <c r="T598" s="13"/>
      <c r="U598" s="8"/>
      <c r="V598" s="8"/>
      <c r="W598" s="8"/>
      <c r="X598" s="7"/>
      <c r="Y598" s="10"/>
      <c r="Z598" s="10"/>
      <c r="AA598" s="2"/>
      <c r="AB598" s="7"/>
      <c r="AC598" s="14"/>
      <c r="AD598" s="15"/>
      <c r="AE598" s="7"/>
      <c r="AG598" s="15"/>
      <c r="AJ598" s="2"/>
    </row>
    <row r="599" spans="1:36" s="12" customFormat="1" ht="14" customHeight="1" x14ac:dyDescent="0.2">
      <c r="A599" s="15"/>
      <c r="B599" s="10"/>
      <c r="C599" s="10"/>
      <c r="D599" s="13"/>
      <c r="E599" s="10"/>
      <c r="F599" s="10"/>
      <c r="G599" s="26"/>
      <c r="H599" s="10"/>
      <c r="I599" s="10"/>
      <c r="J599" s="10"/>
      <c r="K599" s="10"/>
      <c r="L599" s="13"/>
      <c r="M599" s="13"/>
      <c r="N599" s="9"/>
      <c r="O599" s="9"/>
      <c r="P599" s="2"/>
      <c r="Q599" s="2"/>
      <c r="R599" s="7"/>
      <c r="S599" s="13"/>
      <c r="T599" s="13"/>
      <c r="U599" s="8"/>
      <c r="V599" s="8"/>
      <c r="W599" s="8"/>
      <c r="X599" s="7"/>
      <c r="Y599" s="10"/>
      <c r="Z599" s="10"/>
      <c r="AA599" s="2"/>
      <c r="AB599" s="7"/>
      <c r="AC599" s="14"/>
      <c r="AD599" s="15"/>
      <c r="AE599" s="7"/>
      <c r="AG599" s="15"/>
      <c r="AJ599" s="2"/>
    </row>
    <row r="600" spans="1:36" s="12" customFormat="1" ht="14" customHeight="1" x14ac:dyDescent="0.2">
      <c r="A600" s="15"/>
      <c r="B600" s="10"/>
      <c r="C600" s="10"/>
      <c r="D600" s="13"/>
      <c r="E600" s="10"/>
      <c r="F600" s="10"/>
      <c r="G600" s="26"/>
      <c r="H600" s="10"/>
      <c r="I600" s="10"/>
      <c r="J600" s="10"/>
      <c r="K600" s="10"/>
      <c r="L600" s="13"/>
      <c r="M600" s="13"/>
      <c r="N600" s="9"/>
      <c r="O600" s="9"/>
      <c r="P600" s="2"/>
      <c r="Q600" s="2"/>
      <c r="R600" s="7"/>
      <c r="S600" s="13"/>
      <c r="T600" s="13"/>
      <c r="U600" s="8"/>
      <c r="V600" s="8"/>
      <c r="W600" s="8"/>
      <c r="X600" s="7"/>
      <c r="Y600" s="10"/>
      <c r="Z600" s="10"/>
      <c r="AA600" s="2"/>
      <c r="AB600" s="7"/>
      <c r="AC600" s="14"/>
      <c r="AD600" s="15"/>
      <c r="AE600" s="7"/>
      <c r="AG600" s="15"/>
      <c r="AJ600" s="2"/>
    </row>
    <row r="601" spans="1:36" s="12" customFormat="1" ht="14" customHeight="1" x14ac:dyDescent="0.2">
      <c r="A601" s="15"/>
      <c r="B601" s="10"/>
      <c r="C601" s="10"/>
      <c r="D601" s="13"/>
      <c r="E601" s="10"/>
      <c r="F601" s="10"/>
      <c r="G601" s="26"/>
      <c r="H601" s="10"/>
      <c r="I601" s="10"/>
      <c r="J601" s="10"/>
      <c r="K601" s="10"/>
      <c r="L601" s="13"/>
      <c r="M601" s="6"/>
      <c r="N601" s="7"/>
      <c r="O601" s="7"/>
      <c r="P601" s="2"/>
      <c r="Q601" s="2"/>
      <c r="R601" s="7"/>
      <c r="S601" s="13"/>
      <c r="T601" s="13"/>
      <c r="U601" s="8"/>
      <c r="V601" s="8"/>
      <c r="W601" s="8"/>
      <c r="X601" s="7"/>
      <c r="Y601" s="10"/>
      <c r="Z601" s="10"/>
      <c r="AA601" s="2"/>
      <c r="AB601" s="7"/>
      <c r="AC601" s="14"/>
      <c r="AD601" s="15"/>
      <c r="AE601" s="7"/>
      <c r="AG601" s="15"/>
      <c r="AJ601" s="2"/>
    </row>
    <row r="602" spans="1:36" s="12" customFormat="1" ht="14" customHeight="1" x14ac:dyDescent="0.2">
      <c r="A602" s="15"/>
      <c r="B602" s="10"/>
      <c r="C602" s="10"/>
      <c r="D602" s="13"/>
      <c r="E602" s="10"/>
      <c r="F602" s="10"/>
      <c r="G602" s="26"/>
      <c r="H602" s="10"/>
      <c r="I602" s="10"/>
      <c r="J602" s="10"/>
      <c r="K602" s="10"/>
      <c r="L602" s="13"/>
      <c r="M602" s="13"/>
      <c r="N602" s="9"/>
      <c r="O602" s="9"/>
      <c r="P602" s="2"/>
      <c r="Q602" s="2"/>
      <c r="R602" s="7"/>
      <c r="S602" s="13"/>
      <c r="T602" s="13"/>
      <c r="U602" s="8"/>
      <c r="V602" s="8"/>
      <c r="W602" s="8"/>
      <c r="X602" s="7"/>
      <c r="Y602" s="10"/>
      <c r="Z602" s="10"/>
      <c r="AA602" s="2"/>
      <c r="AB602" s="7"/>
      <c r="AC602" s="14"/>
      <c r="AD602" s="15"/>
      <c r="AE602" s="7"/>
      <c r="AG602" s="15"/>
      <c r="AJ602" s="2"/>
    </row>
    <row r="603" spans="1:36" s="12" customFormat="1" ht="14" customHeight="1" x14ac:dyDescent="0.2">
      <c r="A603" s="15"/>
      <c r="B603" s="10"/>
      <c r="C603" s="10"/>
      <c r="D603" s="13"/>
      <c r="E603" s="10"/>
      <c r="F603" s="10"/>
      <c r="G603" s="26"/>
      <c r="H603" s="10"/>
      <c r="I603" s="10"/>
      <c r="J603" s="10"/>
      <c r="K603" s="10"/>
      <c r="L603" s="13"/>
      <c r="M603" s="13"/>
      <c r="N603" s="9"/>
      <c r="O603" s="9"/>
      <c r="P603" s="2"/>
      <c r="Q603" s="2"/>
      <c r="R603" s="7"/>
      <c r="S603" s="13"/>
      <c r="T603" s="13"/>
      <c r="U603" s="8"/>
      <c r="V603" s="8"/>
      <c r="W603" s="8"/>
      <c r="X603" s="7"/>
      <c r="Y603" s="10"/>
      <c r="Z603" s="10"/>
      <c r="AA603" s="2"/>
      <c r="AB603" s="7"/>
      <c r="AC603" s="14"/>
      <c r="AD603" s="15"/>
      <c r="AE603" s="7"/>
      <c r="AG603" s="15"/>
      <c r="AJ603" s="2"/>
    </row>
    <row r="604" spans="1:36" s="12" customFormat="1" ht="14" customHeight="1" x14ac:dyDescent="0.2">
      <c r="A604" s="15"/>
      <c r="B604" s="10"/>
      <c r="C604" s="10"/>
      <c r="D604" s="13"/>
      <c r="E604" s="10"/>
      <c r="F604" s="10"/>
      <c r="G604" s="26"/>
      <c r="H604" s="10"/>
      <c r="I604" s="10"/>
      <c r="J604" s="10"/>
      <c r="K604" s="10"/>
      <c r="L604" s="13"/>
      <c r="M604" s="13"/>
      <c r="N604" s="9"/>
      <c r="O604" s="9"/>
      <c r="P604" s="2"/>
      <c r="Q604" s="2"/>
      <c r="R604" s="7"/>
      <c r="S604" s="13"/>
      <c r="T604" s="13"/>
      <c r="U604" s="8"/>
      <c r="V604" s="8"/>
      <c r="W604" s="8"/>
      <c r="X604" s="7"/>
      <c r="Y604" s="10"/>
      <c r="Z604" s="10"/>
      <c r="AA604" s="2"/>
      <c r="AB604" s="7"/>
      <c r="AC604" s="14"/>
      <c r="AD604" s="15"/>
      <c r="AE604" s="7"/>
      <c r="AG604" s="15"/>
      <c r="AJ604" s="2"/>
    </row>
    <row r="605" spans="1:36" s="12" customFormat="1" ht="14" customHeight="1" x14ac:dyDescent="0.2">
      <c r="A605" s="15"/>
      <c r="B605" s="10"/>
      <c r="C605" s="10"/>
      <c r="D605" s="13"/>
      <c r="E605" s="10"/>
      <c r="F605" s="10"/>
      <c r="G605" s="26"/>
      <c r="H605" s="10"/>
      <c r="I605" s="10"/>
      <c r="J605" s="10"/>
      <c r="K605" s="10"/>
      <c r="L605" s="13"/>
      <c r="M605" s="13"/>
      <c r="N605" s="9"/>
      <c r="O605" s="9"/>
      <c r="P605" s="2"/>
      <c r="Q605" s="2"/>
      <c r="R605" s="7"/>
      <c r="S605" s="13"/>
      <c r="T605" s="13"/>
      <c r="U605" s="8"/>
      <c r="V605" s="8"/>
      <c r="W605" s="8"/>
      <c r="X605" s="7"/>
      <c r="Y605" s="10"/>
      <c r="Z605" s="10"/>
      <c r="AA605" s="2"/>
      <c r="AB605" s="7"/>
      <c r="AC605" s="14"/>
      <c r="AD605" s="15"/>
      <c r="AE605" s="7"/>
      <c r="AG605" s="15"/>
      <c r="AJ605" s="2"/>
    </row>
    <row r="606" spans="1:36" s="12" customFormat="1" ht="14" customHeight="1" x14ac:dyDescent="0.2">
      <c r="A606" s="15"/>
      <c r="B606" s="10"/>
      <c r="C606" s="10"/>
      <c r="D606" s="13"/>
      <c r="E606" s="10"/>
      <c r="F606" s="10"/>
      <c r="G606" s="26"/>
      <c r="H606" s="10"/>
      <c r="I606" s="10"/>
      <c r="J606" s="10"/>
      <c r="K606" s="10"/>
      <c r="L606" s="13"/>
      <c r="M606" s="6"/>
      <c r="N606" s="7"/>
      <c r="O606" s="7"/>
      <c r="P606" s="2"/>
      <c r="Q606" s="2"/>
      <c r="R606" s="7"/>
      <c r="S606" s="13"/>
      <c r="T606" s="13"/>
      <c r="U606" s="8"/>
      <c r="V606" s="8"/>
      <c r="W606" s="8"/>
      <c r="X606" s="7"/>
      <c r="Y606" s="10"/>
      <c r="Z606" s="10"/>
      <c r="AA606" s="2"/>
      <c r="AB606" s="7"/>
      <c r="AC606" s="14"/>
      <c r="AD606" s="15"/>
      <c r="AE606" s="7"/>
      <c r="AG606" s="15"/>
      <c r="AJ606" s="2"/>
    </row>
    <row r="607" spans="1:36" s="12" customFormat="1" ht="14" customHeight="1" x14ac:dyDescent="0.2">
      <c r="A607" s="15"/>
      <c r="B607" s="10"/>
      <c r="C607" s="10"/>
      <c r="D607" s="13"/>
      <c r="E607" s="10"/>
      <c r="F607" s="10"/>
      <c r="G607" s="26"/>
      <c r="H607" s="10"/>
      <c r="I607" s="10"/>
      <c r="J607" s="10"/>
      <c r="K607" s="10"/>
      <c r="L607" s="13"/>
      <c r="M607" s="13"/>
      <c r="N607" s="9"/>
      <c r="O607" s="9"/>
      <c r="P607" s="2"/>
      <c r="Q607" s="2"/>
      <c r="R607" s="7"/>
      <c r="S607" s="13"/>
      <c r="T607" s="13"/>
      <c r="U607" s="8"/>
      <c r="V607" s="8"/>
      <c r="W607" s="8"/>
      <c r="X607" s="7"/>
      <c r="Y607" s="10"/>
      <c r="Z607" s="10"/>
      <c r="AA607" s="2"/>
      <c r="AB607" s="7"/>
      <c r="AC607" s="14"/>
      <c r="AD607" s="15"/>
      <c r="AE607" s="7"/>
      <c r="AG607" s="15"/>
      <c r="AJ607" s="2"/>
    </row>
    <row r="608" spans="1:36" s="12" customFormat="1" ht="14" customHeight="1" x14ac:dyDescent="0.2">
      <c r="A608" s="15"/>
      <c r="B608" s="10"/>
      <c r="C608" s="10"/>
      <c r="D608" s="13"/>
      <c r="E608" s="10"/>
      <c r="F608" s="10"/>
      <c r="G608" s="26"/>
      <c r="H608" s="10"/>
      <c r="I608" s="10"/>
      <c r="J608" s="10"/>
      <c r="K608" s="10"/>
      <c r="L608" s="13"/>
      <c r="M608" s="13"/>
      <c r="N608" s="9"/>
      <c r="O608" s="9"/>
      <c r="P608" s="2"/>
      <c r="Q608" s="2"/>
      <c r="R608" s="7"/>
      <c r="S608" s="13"/>
      <c r="T608" s="13"/>
      <c r="U608" s="8"/>
      <c r="V608" s="8"/>
      <c r="W608" s="8"/>
      <c r="X608" s="7"/>
      <c r="Y608" s="10"/>
      <c r="Z608" s="10"/>
      <c r="AA608" s="2"/>
      <c r="AB608" s="7"/>
      <c r="AC608" s="14"/>
      <c r="AD608" s="15"/>
      <c r="AE608" s="7"/>
      <c r="AG608" s="15"/>
      <c r="AJ608" s="2"/>
    </row>
    <row r="609" spans="1:36" s="12" customFormat="1" ht="14" customHeight="1" x14ac:dyDescent="0.2">
      <c r="A609" s="15"/>
      <c r="B609" s="10"/>
      <c r="C609" s="10"/>
      <c r="D609" s="13"/>
      <c r="E609" s="10"/>
      <c r="F609" s="10"/>
      <c r="G609" s="26"/>
      <c r="H609" s="10"/>
      <c r="I609" s="10"/>
      <c r="J609" s="10"/>
      <c r="K609" s="10"/>
      <c r="L609" s="13"/>
      <c r="M609" s="13"/>
      <c r="N609" s="9"/>
      <c r="O609" s="9"/>
      <c r="P609" s="2"/>
      <c r="Q609" s="2"/>
      <c r="R609" s="7"/>
      <c r="S609" s="13"/>
      <c r="T609" s="13"/>
      <c r="U609" s="8"/>
      <c r="V609" s="8"/>
      <c r="W609" s="8"/>
      <c r="X609" s="7"/>
      <c r="Y609" s="10"/>
      <c r="Z609" s="10"/>
      <c r="AA609" s="2"/>
      <c r="AB609" s="7"/>
      <c r="AC609" s="14"/>
      <c r="AD609" s="15"/>
      <c r="AE609" s="7"/>
      <c r="AG609" s="15"/>
      <c r="AJ609" s="2"/>
    </row>
    <row r="610" spans="1:36" s="12" customFormat="1" ht="14" customHeight="1" x14ac:dyDescent="0.2">
      <c r="A610" s="15"/>
      <c r="B610" s="10"/>
      <c r="C610" s="10"/>
      <c r="D610" s="13"/>
      <c r="E610" s="10"/>
      <c r="F610" s="10"/>
      <c r="G610" s="26"/>
      <c r="H610" s="10"/>
      <c r="I610" s="10"/>
      <c r="J610" s="10"/>
      <c r="K610" s="7"/>
      <c r="L610" s="13"/>
      <c r="M610" s="6"/>
      <c r="N610" s="7"/>
      <c r="O610" s="7"/>
      <c r="P610" s="2"/>
      <c r="Q610" s="2"/>
      <c r="R610" s="7"/>
      <c r="S610" s="13"/>
      <c r="T610" s="13"/>
      <c r="U610" s="8"/>
      <c r="V610" s="8"/>
      <c r="W610" s="8"/>
      <c r="X610" s="7"/>
      <c r="Y610" s="10"/>
      <c r="Z610" s="10"/>
      <c r="AA610" s="2"/>
      <c r="AB610" s="7"/>
      <c r="AC610" s="14"/>
      <c r="AD610" s="15"/>
      <c r="AE610" s="7"/>
      <c r="AG610" s="15"/>
      <c r="AJ610" s="2"/>
    </row>
    <row r="611" spans="1:36" s="12" customFormat="1" ht="14" customHeight="1" x14ac:dyDescent="0.2">
      <c r="A611" s="15"/>
      <c r="B611" s="10"/>
      <c r="C611" s="10"/>
      <c r="D611" s="13"/>
      <c r="E611" s="10"/>
      <c r="F611" s="10"/>
      <c r="G611" s="26"/>
      <c r="H611" s="10"/>
      <c r="I611" s="10"/>
      <c r="J611" s="10"/>
      <c r="K611" s="7"/>
      <c r="L611" s="13"/>
      <c r="M611" s="6"/>
      <c r="N611" s="7"/>
      <c r="O611" s="7"/>
      <c r="P611" s="2"/>
      <c r="Q611" s="2"/>
      <c r="R611" s="7"/>
      <c r="S611" s="13"/>
      <c r="T611" s="13"/>
      <c r="U611" s="8"/>
      <c r="V611" s="8"/>
      <c r="W611" s="8"/>
      <c r="X611" s="7"/>
      <c r="Y611" s="10"/>
      <c r="Z611" s="10"/>
      <c r="AA611" s="2"/>
      <c r="AB611" s="7"/>
      <c r="AC611" s="14"/>
      <c r="AD611" s="15"/>
      <c r="AE611" s="7"/>
      <c r="AG611" s="15"/>
      <c r="AJ611" s="2"/>
    </row>
    <row r="612" spans="1:36" s="12" customFormat="1" ht="14" customHeight="1" x14ac:dyDescent="0.2">
      <c r="A612" s="15"/>
      <c r="B612" s="10"/>
      <c r="C612" s="10"/>
      <c r="D612" s="13"/>
      <c r="E612" s="10"/>
      <c r="F612" s="10"/>
      <c r="G612" s="26"/>
      <c r="H612" s="10"/>
      <c r="I612" s="10"/>
      <c r="J612" s="10"/>
      <c r="K612" s="10"/>
      <c r="L612" s="13"/>
      <c r="M612" s="6"/>
      <c r="N612" s="7"/>
      <c r="O612" s="7"/>
      <c r="P612" s="2"/>
      <c r="Q612" s="2"/>
      <c r="R612" s="7"/>
      <c r="S612" s="13"/>
      <c r="T612" s="13"/>
      <c r="U612" s="8"/>
      <c r="V612" s="8"/>
      <c r="W612" s="8"/>
      <c r="X612" s="7"/>
      <c r="Y612" s="10"/>
      <c r="Z612" s="10"/>
      <c r="AA612" s="2"/>
      <c r="AB612" s="7"/>
      <c r="AC612" s="14"/>
      <c r="AD612" s="15"/>
      <c r="AE612" s="7"/>
      <c r="AG612" s="15"/>
      <c r="AJ612" s="2"/>
    </row>
    <row r="613" spans="1:36" s="12" customFormat="1" ht="14" customHeight="1" x14ac:dyDescent="0.2">
      <c r="A613" s="15"/>
      <c r="B613" s="10"/>
      <c r="C613" s="10"/>
      <c r="D613" s="13"/>
      <c r="E613" s="10"/>
      <c r="F613" s="10"/>
      <c r="G613" s="26"/>
      <c r="H613" s="10"/>
      <c r="I613" s="10"/>
      <c r="J613" s="10"/>
      <c r="K613" s="10"/>
      <c r="L613" s="13"/>
      <c r="M613" s="13"/>
      <c r="N613" s="9"/>
      <c r="O613" s="9"/>
      <c r="P613" s="2"/>
      <c r="Q613" s="2"/>
      <c r="R613" s="7"/>
      <c r="S613" s="13"/>
      <c r="T613" s="13"/>
      <c r="U613" s="8"/>
      <c r="V613" s="8"/>
      <c r="W613" s="8"/>
      <c r="X613" s="7"/>
      <c r="Y613" s="10"/>
      <c r="Z613" s="10"/>
      <c r="AA613" s="2"/>
      <c r="AB613" s="7"/>
      <c r="AC613" s="14"/>
      <c r="AD613" s="15"/>
      <c r="AE613" s="7"/>
      <c r="AG613" s="15"/>
      <c r="AJ613" s="2"/>
    </row>
    <row r="614" spans="1:36" s="12" customFormat="1" ht="14" customHeight="1" x14ac:dyDescent="0.2">
      <c r="A614" s="15"/>
      <c r="B614" s="10"/>
      <c r="C614" s="10"/>
      <c r="D614" s="13"/>
      <c r="E614" s="10"/>
      <c r="F614" s="10"/>
      <c r="G614" s="26"/>
      <c r="H614" s="10"/>
      <c r="I614" s="10"/>
      <c r="J614" s="10"/>
      <c r="K614" s="10"/>
      <c r="L614" s="13"/>
      <c r="M614" s="6"/>
      <c r="N614" s="7"/>
      <c r="O614" s="7"/>
      <c r="P614" s="2"/>
      <c r="Q614" s="2"/>
      <c r="R614" s="7"/>
      <c r="S614" s="13"/>
      <c r="T614" s="13"/>
      <c r="U614" s="8"/>
      <c r="V614" s="8"/>
      <c r="W614" s="8"/>
      <c r="X614" s="7"/>
      <c r="Y614" s="10"/>
      <c r="Z614" s="10"/>
      <c r="AA614" s="2"/>
      <c r="AB614" s="7"/>
      <c r="AC614" s="14"/>
      <c r="AD614" s="15"/>
      <c r="AE614" s="7"/>
      <c r="AG614" s="15"/>
      <c r="AJ614" s="2"/>
    </row>
    <row r="615" spans="1:36" s="12" customFormat="1" ht="14" customHeight="1" x14ac:dyDescent="0.2">
      <c r="A615" s="15"/>
      <c r="B615" s="10"/>
      <c r="C615" s="10"/>
      <c r="D615" s="13"/>
      <c r="E615" s="10"/>
      <c r="F615" s="10"/>
      <c r="G615" s="26"/>
      <c r="H615" s="10"/>
      <c r="I615" s="10"/>
      <c r="J615" s="10"/>
      <c r="K615" s="7"/>
      <c r="L615" s="13"/>
      <c r="M615" s="6"/>
      <c r="N615" s="7"/>
      <c r="O615" s="7"/>
      <c r="P615" s="2"/>
      <c r="Q615" s="2"/>
      <c r="R615" s="7"/>
      <c r="S615" s="13"/>
      <c r="T615" s="13"/>
      <c r="U615" s="8"/>
      <c r="V615" s="8"/>
      <c r="W615" s="8"/>
      <c r="X615" s="7"/>
      <c r="Y615" s="10"/>
      <c r="Z615" s="10"/>
      <c r="AA615" s="2"/>
      <c r="AB615" s="7"/>
      <c r="AC615" s="14"/>
      <c r="AD615" s="15"/>
      <c r="AE615" s="7"/>
      <c r="AG615" s="15"/>
      <c r="AJ615" s="2"/>
    </row>
    <row r="616" spans="1:36" s="12" customFormat="1" ht="14" customHeight="1" x14ac:dyDescent="0.2">
      <c r="B616" s="10"/>
      <c r="C616" s="10"/>
      <c r="D616" s="13"/>
      <c r="E616" s="10"/>
      <c r="F616" s="10"/>
      <c r="G616" s="26"/>
      <c r="H616" s="10"/>
      <c r="I616" s="10"/>
      <c r="J616" s="10"/>
      <c r="K616" s="10"/>
      <c r="L616" s="13"/>
      <c r="M616" s="6"/>
      <c r="N616" s="7"/>
      <c r="O616" s="7"/>
      <c r="P616" s="2"/>
      <c r="Q616" s="2"/>
      <c r="R616" s="7"/>
      <c r="S616" s="13"/>
      <c r="T616" s="13"/>
      <c r="U616" s="8"/>
      <c r="V616" s="8"/>
      <c r="W616" s="8"/>
      <c r="X616" s="7"/>
      <c r="Y616" s="10"/>
      <c r="Z616" s="10"/>
      <c r="AA616" s="2"/>
      <c r="AB616" s="7"/>
      <c r="AC616" s="14"/>
      <c r="AD616" s="15"/>
      <c r="AE616" s="7"/>
      <c r="AG616" s="15"/>
      <c r="AJ616" s="2"/>
    </row>
    <row r="617" spans="1:36" s="12" customFormat="1" ht="14" customHeight="1" x14ac:dyDescent="0.2">
      <c r="B617" s="10"/>
      <c r="C617" s="10"/>
      <c r="D617" s="13"/>
      <c r="E617" s="10"/>
      <c r="F617" s="10"/>
      <c r="G617" s="26"/>
      <c r="H617" s="10"/>
      <c r="I617" s="10"/>
      <c r="J617" s="10"/>
      <c r="K617" s="10"/>
      <c r="L617" s="13"/>
      <c r="M617" s="13"/>
      <c r="N617" s="9"/>
      <c r="O617" s="9"/>
      <c r="P617" s="2"/>
      <c r="Q617" s="2"/>
      <c r="R617" s="7"/>
      <c r="S617" s="13"/>
      <c r="T617" s="13"/>
      <c r="U617" s="8"/>
      <c r="V617" s="8"/>
      <c r="W617" s="8"/>
      <c r="X617" s="7"/>
      <c r="Y617" s="10"/>
      <c r="Z617" s="10"/>
      <c r="AA617" s="2"/>
      <c r="AB617" s="7"/>
      <c r="AC617" s="14"/>
      <c r="AD617" s="15"/>
      <c r="AE617" s="7"/>
      <c r="AG617" s="15"/>
      <c r="AJ617" s="2"/>
    </row>
    <row r="618" spans="1:36" s="12" customFormat="1" ht="14" customHeight="1" x14ac:dyDescent="0.2">
      <c r="A618" s="15"/>
      <c r="B618" s="10"/>
      <c r="C618" s="10"/>
      <c r="D618" s="13"/>
      <c r="E618" s="10"/>
      <c r="F618" s="10"/>
      <c r="G618" s="26"/>
      <c r="H618" s="10"/>
      <c r="I618" s="10"/>
      <c r="J618" s="10"/>
      <c r="K618" s="7"/>
      <c r="L618" s="13"/>
      <c r="M618" s="6"/>
      <c r="N618" s="7"/>
      <c r="O618" s="7"/>
      <c r="P618" s="2"/>
      <c r="Q618" s="2"/>
      <c r="R618" s="7"/>
      <c r="S618" s="13"/>
      <c r="T618" s="13"/>
      <c r="U618" s="8"/>
      <c r="V618" s="8"/>
      <c r="W618" s="8"/>
      <c r="X618" s="7"/>
      <c r="Y618" s="10"/>
      <c r="Z618" s="10"/>
      <c r="AA618" s="2"/>
      <c r="AB618" s="7"/>
      <c r="AC618" s="14"/>
      <c r="AD618" s="15"/>
      <c r="AE618" s="7"/>
      <c r="AG618" s="15"/>
      <c r="AJ618" s="2"/>
    </row>
    <row r="619" spans="1:36" s="12" customFormat="1" ht="14" customHeight="1" x14ac:dyDescent="0.2">
      <c r="A619" s="15"/>
      <c r="B619" s="10"/>
      <c r="C619" s="10"/>
      <c r="D619" s="13"/>
      <c r="E619" s="10"/>
      <c r="F619" s="10"/>
      <c r="G619" s="26"/>
      <c r="H619" s="10"/>
      <c r="I619" s="10"/>
      <c r="J619" s="10"/>
      <c r="K619" s="7"/>
      <c r="L619" s="13"/>
      <c r="M619" s="6"/>
      <c r="N619" s="7"/>
      <c r="O619" s="7"/>
      <c r="P619" s="2"/>
      <c r="Q619" s="2"/>
      <c r="R619" s="7"/>
      <c r="S619" s="13"/>
      <c r="T619" s="13"/>
      <c r="U619" s="8"/>
      <c r="V619" s="8"/>
      <c r="W619" s="8"/>
      <c r="X619" s="7"/>
      <c r="Y619" s="10"/>
      <c r="Z619" s="10"/>
      <c r="AA619" s="2"/>
      <c r="AB619" s="7"/>
      <c r="AC619" s="14"/>
      <c r="AD619" s="15"/>
      <c r="AE619" s="7"/>
      <c r="AG619" s="15"/>
      <c r="AJ619" s="2"/>
    </row>
    <row r="620" spans="1:36" s="12" customFormat="1" ht="14" customHeight="1" x14ac:dyDescent="0.2">
      <c r="A620" s="15"/>
      <c r="B620" s="10"/>
      <c r="C620" s="10"/>
      <c r="D620" s="13"/>
      <c r="E620" s="10"/>
      <c r="F620" s="10"/>
      <c r="G620" s="26"/>
      <c r="H620" s="10"/>
      <c r="I620" s="10"/>
      <c r="J620" s="10"/>
      <c r="K620" s="10"/>
      <c r="L620" s="13"/>
      <c r="M620" s="13"/>
      <c r="N620" s="9"/>
      <c r="O620" s="9"/>
      <c r="P620" s="2"/>
      <c r="Q620" s="2"/>
      <c r="R620" s="7"/>
      <c r="S620" s="13"/>
      <c r="T620" s="13"/>
      <c r="U620" s="8"/>
      <c r="V620" s="8"/>
      <c r="W620" s="8"/>
      <c r="X620" s="7"/>
      <c r="Y620" s="10"/>
      <c r="Z620" s="10"/>
      <c r="AA620" s="2"/>
      <c r="AB620" s="7"/>
      <c r="AC620" s="14"/>
      <c r="AD620" s="15"/>
      <c r="AE620" s="7"/>
      <c r="AG620" s="15"/>
      <c r="AJ620" s="2"/>
    </row>
    <row r="621" spans="1:36" s="12" customFormat="1" ht="14" customHeight="1" x14ac:dyDescent="0.2">
      <c r="A621" s="15"/>
      <c r="B621" s="10"/>
      <c r="C621" s="10"/>
      <c r="D621" s="13"/>
      <c r="E621" s="10"/>
      <c r="F621" s="10"/>
      <c r="G621" s="26"/>
      <c r="H621" s="10"/>
      <c r="I621" s="10"/>
      <c r="J621" s="10"/>
      <c r="K621" s="7"/>
      <c r="L621" s="13"/>
      <c r="M621" s="6"/>
      <c r="N621" s="7"/>
      <c r="O621" s="7"/>
      <c r="P621" s="2"/>
      <c r="Q621" s="2"/>
      <c r="R621" s="7"/>
      <c r="S621" s="13"/>
      <c r="T621" s="13"/>
      <c r="U621" s="8"/>
      <c r="V621" s="8"/>
      <c r="W621" s="8"/>
      <c r="X621" s="7"/>
      <c r="Y621" s="10"/>
      <c r="Z621" s="10"/>
      <c r="AA621" s="2"/>
      <c r="AB621" s="7"/>
      <c r="AC621" s="14"/>
      <c r="AD621" s="15"/>
      <c r="AE621" s="7"/>
      <c r="AG621" s="15"/>
      <c r="AJ621" s="2"/>
    </row>
    <row r="622" spans="1:36" s="12" customFormat="1" ht="14" customHeight="1" x14ac:dyDescent="0.2">
      <c r="A622" s="15"/>
      <c r="B622" s="10"/>
      <c r="C622" s="10"/>
      <c r="D622" s="13"/>
      <c r="E622" s="10"/>
      <c r="F622" s="10"/>
      <c r="G622" s="26"/>
      <c r="H622" s="10"/>
      <c r="I622" s="10"/>
      <c r="J622" s="10"/>
      <c r="K622" s="7"/>
      <c r="L622" s="13"/>
      <c r="M622" s="6"/>
      <c r="N622" s="7"/>
      <c r="O622" s="7"/>
      <c r="P622" s="2"/>
      <c r="Q622" s="2"/>
      <c r="R622" s="7"/>
      <c r="S622" s="13"/>
      <c r="T622" s="13"/>
      <c r="U622" s="8"/>
      <c r="V622" s="8"/>
      <c r="W622" s="8"/>
      <c r="X622" s="7"/>
      <c r="Y622" s="10"/>
      <c r="Z622" s="10"/>
      <c r="AA622" s="2"/>
      <c r="AB622" s="7"/>
      <c r="AC622" s="14"/>
      <c r="AD622" s="15"/>
      <c r="AE622" s="7"/>
      <c r="AG622" s="15"/>
      <c r="AJ622" s="2"/>
    </row>
    <row r="623" spans="1:36" s="12" customFormat="1" ht="14" customHeight="1" x14ac:dyDescent="0.2">
      <c r="A623" s="15"/>
      <c r="B623" s="10"/>
      <c r="C623" s="10"/>
      <c r="D623" s="13"/>
      <c r="E623" s="10"/>
      <c r="F623" s="10"/>
      <c r="G623" s="26"/>
      <c r="H623" s="10"/>
      <c r="I623" s="10"/>
      <c r="J623" s="10"/>
      <c r="K623" s="10"/>
      <c r="L623" s="13"/>
      <c r="M623" s="6"/>
      <c r="N623" s="7"/>
      <c r="O623" s="7"/>
      <c r="P623" s="2"/>
      <c r="Q623" s="2"/>
      <c r="R623" s="7"/>
      <c r="S623" s="13"/>
      <c r="T623" s="13"/>
      <c r="U623" s="8"/>
      <c r="V623" s="8"/>
      <c r="W623" s="8"/>
      <c r="X623" s="7"/>
      <c r="Y623" s="10"/>
      <c r="Z623" s="10"/>
      <c r="AA623" s="2"/>
      <c r="AB623" s="7"/>
      <c r="AC623" s="14"/>
      <c r="AD623" s="15"/>
      <c r="AE623" s="7"/>
      <c r="AG623" s="15"/>
      <c r="AJ623" s="2"/>
    </row>
    <row r="624" spans="1:36" s="12" customFormat="1" ht="14" customHeight="1" x14ac:dyDescent="0.2">
      <c r="A624" s="15"/>
      <c r="B624" s="10"/>
      <c r="C624" s="10"/>
      <c r="D624" s="13"/>
      <c r="E624" s="10"/>
      <c r="F624" s="10"/>
      <c r="G624" s="26"/>
      <c r="H624" s="10"/>
      <c r="I624" s="10"/>
      <c r="J624" s="10"/>
      <c r="K624" s="10"/>
      <c r="L624" s="13"/>
      <c r="M624" s="13"/>
      <c r="N624" s="9"/>
      <c r="O624" s="9"/>
      <c r="P624" s="2"/>
      <c r="Q624" s="2"/>
      <c r="R624" s="7"/>
      <c r="S624" s="13"/>
      <c r="T624" s="13"/>
      <c r="U624" s="8"/>
      <c r="V624" s="8"/>
      <c r="W624" s="8"/>
      <c r="X624" s="7"/>
      <c r="Y624" s="10"/>
      <c r="Z624" s="10"/>
      <c r="AA624" s="2"/>
      <c r="AB624" s="7"/>
      <c r="AC624" s="14"/>
      <c r="AD624" s="15"/>
      <c r="AE624" s="7"/>
      <c r="AG624" s="15"/>
      <c r="AJ624" s="2"/>
    </row>
    <row r="625" spans="1:36" s="12" customFormat="1" ht="14" customHeight="1" x14ac:dyDescent="0.2">
      <c r="A625" s="15"/>
      <c r="B625" s="10"/>
      <c r="C625" s="10"/>
      <c r="D625" s="13"/>
      <c r="E625" s="10"/>
      <c r="F625" s="10"/>
      <c r="G625" s="26"/>
      <c r="H625" s="10"/>
      <c r="I625" s="10"/>
      <c r="J625" s="10"/>
      <c r="K625" s="10"/>
      <c r="L625" s="13"/>
      <c r="M625" s="13"/>
      <c r="N625" s="9"/>
      <c r="O625" s="9"/>
      <c r="P625" s="2"/>
      <c r="Q625" s="2"/>
      <c r="R625" s="7"/>
      <c r="S625" s="13"/>
      <c r="T625" s="13"/>
      <c r="U625" s="8"/>
      <c r="V625" s="8"/>
      <c r="W625" s="8"/>
      <c r="X625" s="7"/>
      <c r="Y625" s="10"/>
      <c r="Z625" s="10"/>
      <c r="AA625" s="2"/>
      <c r="AB625" s="7"/>
      <c r="AC625" s="14"/>
      <c r="AD625" s="15"/>
      <c r="AE625" s="7"/>
      <c r="AG625" s="15"/>
      <c r="AJ625" s="2"/>
    </row>
    <row r="626" spans="1:36" s="12" customFormat="1" ht="14" customHeight="1" x14ac:dyDescent="0.2">
      <c r="A626" s="15"/>
      <c r="B626" s="10"/>
      <c r="C626" s="10"/>
      <c r="D626" s="13"/>
      <c r="E626" s="10"/>
      <c r="F626" s="10"/>
      <c r="G626" s="26"/>
      <c r="H626" s="10"/>
      <c r="I626" s="10"/>
      <c r="J626" s="10"/>
      <c r="K626" s="10"/>
      <c r="L626" s="13"/>
      <c r="M626" s="13"/>
      <c r="N626" s="9"/>
      <c r="O626" s="9"/>
      <c r="P626" s="2"/>
      <c r="Q626" s="2"/>
      <c r="R626" s="7"/>
      <c r="S626" s="13"/>
      <c r="T626" s="13"/>
      <c r="U626" s="8"/>
      <c r="V626" s="8"/>
      <c r="W626" s="8"/>
      <c r="X626" s="7"/>
      <c r="Y626" s="10"/>
      <c r="Z626" s="10"/>
      <c r="AA626" s="2"/>
      <c r="AB626" s="7"/>
      <c r="AC626" s="14"/>
      <c r="AD626" s="15"/>
      <c r="AE626" s="7"/>
      <c r="AG626" s="15"/>
      <c r="AJ626" s="2"/>
    </row>
    <row r="627" spans="1:36" s="12" customFormat="1" ht="14" customHeight="1" x14ac:dyDescent="0.2">
      <c r="B627" s="10"/>
      <c r="C627" s="10"/>
      <c r="D627" s="13"/>
      <c r="E627" s="10"/>
      <c r="F627" s="10"/>
      <c r="G627" s="26"/>
      <c r="H627" s="10"/>
      <c r="I627" s="10"/>
      <c r="J627" s="10"/>
      <c r="K627" s="10"/>
      <c r="L627" s="13"/>
      <c r="M627" s="6"/>
      <c r="N627" s="7"/>
      <c r="O627" s="7"/>
      <c r="P627" s="2"/>
      <c r="Q627" s="2"/>
      <c r="R627" s="7"/>
      <c r="S627" s="13"/>
      <c r="T627" s="13"/>
      <c r="U627" s="8"/>
      <c r="V627" s="8"/>
      <c r="W627" s="8"/>
      <c r="X627" s="7"/>
      <c r="Y627" s="10"/>
      <c r="Z627" s="10"/>
      <c r="AA627" s="2"/>
      <c r="AB627" s="7"/>
      <c r="AC627" s="14"/>
      <c r="AD627" s="15"/>
      <c r="AE627" s="7"/>
      <c r="AG627" s="15"/>
      <c r="AJ627" s="2"/>
    </row>
    <row r="628" spans="1:36" s="12" customFormat="1" ht="14" customHeight="1" x14ac:dyDescent="0.2">
      <c r="B628" s="10"/>
      <c r="C628" s="10"/>
      <c r="D628" s="6"/>
      <c r="E628" s="10"/>
      <c r="F628" s="10"/>
      <c r="G628" s="26"/>
      <c r="H628" s="10"/>
      <c r="I628" s="10"/>
      <c r="J628" s="10"/>
      <c r="K628" s="10"/>
      <c r="L628" s="13"/>
      <c r="M628" s="13"/>
      <c r="N628" s="9"/>
      <c r="O628" s="9"/>
      <c r="P628" s="2"/>
      <c r="Q628" s="2"/>
      <c r="R628" s="7"/>
      <c r="S628" s="13"/>
      <c r="T628" s="13"/>
      <c r="U628" s="8"/>
      <c r="V628" s="8"/>
      <c r="W628" s="8"/>
      <c r="X628" s="7"/>
      <c r="Y628" s="10"/>
      <c r="Z628" s="10"/>
      <c r="AA628" s="2"/>
      <c r="AB628" s="7"/>
      <c r="AC628" s="14"/>
      <c r="AD628" s="15"/>
      <c r="AE628" s="7"/>
      <c r="AG628" s="15"/>
      <c r="AJ628" s="2"/>
    </row>
    <row r="629" spans="1:36" s="12" customFormat="1" ht="14" customHeight="1" x14ac:dyDescent="0.2">
      <c r="B629" s="10"/>
      <c r="C629" s="10"/>
      <c r="D629" s="13"/>
      <c r="E629" s="10"/>
      <c r="F629" s="10"/>
      <c r="G629" s="26"/>
      <c r="H629" s="10"/>
      <c r="I629" s="10"/>
      <c r="J629" s="10"/>
      <c r="K629" s="10"/>
      <c r="L629" s="13"/>
      <c r="M629" s="6"/>
      <c r="N629" s="7"/>
      <c r="O629" s="7"/>
      <c r="P629" s="2"/>
      <c r="Q629" s="2"/>
      <c r="R629" s="7"/>
      <c r="S629" s="13"/>
      <c r="T629" s="13"/>
      <c r="U629" s="8"/>
      <c r="V629" s="8"/>
      <c r="W629" s="8"/>
      <c r="X629" s="7"/>
      <c r="Y629" s="10"/>
      <c r="Z629" s="10"/>
      <c r="AA629" s="2"/>
      <c r="AB629" s="7"/>
      <c r="AC629" s="14"/>
      <c r="AD629" s="15"/>
      <c r="AE629" s="7"/>
      <c r="AG629" s="15"/>
      <c r="AJ629" s="2"/>
    </row>
    <row r="630" spans="1:36" s="12" customFormat="1" ht="14" customHeight="1" x14ac:dyDescent="0.2">
      <c r="B630" s="10"/>
      <c r="C630" s="10"/>
      <c r="D630" s="13"/>
      <c r="E630" s="10"/>
      <c r="F630" s="10"/>
      <c r="G630" s="26"/>
      <c r="H630" s="10"/>
      <c r="I630" s="10"/>
      <c r="J630" s="10"/>
      <c r="K630" s="10"/>
      <c r="L630" s="13"/>
      <c r="M630" s="6"/>
      <c r="N630" s="7"/>
      <c r="O630" s="7"/>
      <c r="P630" s="2"/>
      <c r="Q630" s="2"/>
      <c r="R630" s="7"/>
      <c r="S630" s="13"/>
      <c r="T630" s="13"/>
      <c r="U630" s="8"/>
      <c r="V630" s="8"/>
      <c r="W630" s="8"/>
      <c r="X630" s="7"/>
      <c r="Y630" s="10"/>
      <c r="Z630" s="10"/>
      <c r="AA630" s="2"/>
      <c r="AB630" s="7"/>
      <c r="AC630" s="14"/>
      <c r="AD630" s="15"/>
      <c r="AE630" s="7"/>
      <c r="AG630" s="15"/>
      <c r="AJ630" s="2"/>
    </row>
    <row r="631" spans="1:36" s="12" customFormat="1" ht="14" customHeight="1" x14ac:dyDescent="0.2">
      <c r="A631" s="15"/>
      <c r="B631" s="10"/>
      <c r="C631" s="10"/>
      <c r="D631" s="13"/>
      <c r="E631" s="10"/>
      <c r="F631" s="10"/>
      <c r="G631" s="26"/>
      <c r="H631" s="10"/>
      <c r="I631" s="10"/>
      <c r="J631" s="10"/>
      <c r="K631" s="9"/>
      <c r="L631" s="13"/>
      <c r="M631" s="13"/>
      <c r="N631" s="9"/>
      <c r="O631" s="9"/>
      <c r="P631" s="2"/>
      <c r="Q631" s="2"/>
      <c r="R631" s="7"/>
      <c r="S631" s="13"/>
      <c r="T631" s="13"/>
      <c r="U631" s="8"/>
      <c r="V631" s="8"/>
      <c r="W631" s="8"/>
      <c r="X631" s="7"/>
      <c r="Y631" s="10"/>
      <c r="Z631" s="10"/>
      <c r="AA631" s="2"/>
      <c r="AB631" s="7"/>
      <c r="AC631" s="14"/>
      <c r="AD631" s="15"/>
      <c r="AE631" s="7"/>
      <c r="AG631" s="15"/>
      <c r="AJ631" s="2"/>
    </row>
    <row r="632" spans="1:36" s="12" customFormat="1" ht="14" customHeight="1" x14ac:dyDescent="0.2">
      <c r="B632" s="10"/>
      <c r="C632" s="10"/>
      <c r="D632" s="13"/>
      <c r="E632" s="10"/>
      <c r="F632" s="10"/>
      <c r="G632" s="26"/>
      <c r="H632" s="10"/>
      <c r="I632" s="10"/>
      <c r="J632" s="10"/>
      <c r="K632" s="10"/>
      <c r="L632" s="13"/>
      <c r="M632" s="13"/>
      <c r="N632" s="9"/>
      <c r="O632" s="9"/>
      <c r="P632" s="2"/>
      <c r="Q632" s="2"/>
      <c r="R632" s="7"/>
      <c r="S632" s="13"/>
      <c r="T632" s="13"/>
      <c r="U632" s="8"/>
      <c r="V632" s="8"/>
      <c r="W632" s="8"/>
      <c r="X632" s="7"/>
      <c r="Y632" s="10"/>
      <c r="Z632" s="10"/>
      <c r="AA632" s="2"/>
      <c r="AB632" s="7"/>
      <c r="AC632" s="14"/>
      <c r="AD632" s="15"/>
      <c r="AE632" s="7"/>
      <c r="AG632" s="15"/>
      <c r="AJ632" s="2"/>
    </row>
    <row r="633" spans="1:36" s="12" customFormat="1" ht="14" customHeight="1" x14ac:dyDescent="0.2">
      <c r="A633" s="15"/>
      <c r="B633" s="10"/>
      <c r="C633" s="10"/>
      <c r="D633" s="13"/>
      <c r="E633" s="10"/>
      <c r="F633" s="10"/>
      <c r="G633" s="26"/>
      <c r="H633" s="10"/>
      <c r="I633" s="10"/>
      <c r="J633" s="10"/>
      <c r="K633" s="10"/>
      <c r="L633" s="13"/>
      <c r="M633" s="13"/>
      <c r="N633" s="9"/>
      <c r="O633" s="9"/>
      <c r="P633" s="2"/>
      <c r="Q633" s="2"/>
      <c r="R633" s="7"/>
      <c r="S633" s="13"/>
      <c r="T633" s="13"/>
      <c r="U633" s="8"/>
      <c r="V633" s="8"/>
      <c r="W633" s="8"/>
      <c r="X633" s="7"/>
      <c r="Y633" s="10"/>
      <c r="Z633" s="10"/>
      <c r="AA633" s="2"/>
      <c r="AB633" s="7"/>
      <c r="AC633" s="14"/>
      <c r="AD633" s="15"/>
      <c r="AE633" s="7"/>
      <c r="AG633" s="15"/>
      <c r="AJ633" s="2"/>
    </row>
    <row r="634" spans="1:36" s="12" customFormat="1" ht="14" customHeight="1" x14ac:dyDescent="0.2">
      <c r="B634" s="10"/>
      <c r="C634" s="10"/>
      <c r="D634" s="13"/>
      <c r="E634" s="10"/>
      <c r="F634" s="10"/>
      <c r="G634" s="26"/>
      <c r="H634" s="10"/>
      <c r="I634" s="10"/>
      <c r="J634" s="10"/>
      <c r="K634" s="10"/>
      <c r="L634" s="13"/>
      <c r="M634" s="13"/>
      <c r="N634" s="9"/>
      <c r="O634" s="9"/>
      <c r="P634" s="2"/>
      <c r="Q634" s="2"/>
      <c r="R634" s="7"/>
      <c r="S634" s="13"/>
      <c r="T634" s="13"/>
      <c r="U634" s="8"/>
      <c r="V634" s="8"/>
      <c r="W634" s="8"/>
      <c r="X634" s="7"/>
      <c r="Y634" s="10"/>
      <c r="Z634" s="10"/>
      <c r="AA634" s="2"/>
      <c r="AB634" s="7"/>
      <c r="AC634" s="14"/>
      <c r="AD634" s="15"/>
      <c r="AE634" s="7"/>
      <c r="AG634" s="15"/>
      <c r="AJ634" s="2"/>
    </row>
    <row r="635" spans="1:36" s="12" customFormat="1" ht="14" customHeight="1" x14ac:dyDescent="0.2">
      <c r="B635" s="10"/>
      <c r="C635" s="10"/>
      <c r="D635" s="13"/>
      <c r="E635" s="10"/>
      <c r="F635" s="10"/>
      <c r="G635" s="26"/>
      <c r="H635" s="10"/>
      <c r="I635" s="10"/>
      <c r="J635" s="10"/>
      <c r="K635" s="10"/>
      <c r="L635" s="13"/>
      <c r="M635" s="13"/>
      <c r="N635" s="9"/>
      <c r="O635" s="9"/>
      <c r="P635" s="2"/>
      <c r="Q635" s="2"/>
      <c r="R635" s="7"/>
      <c r="S635" s="13"/>
      <c r="T635" s="13"/>
      <c r="U635" s="8"/>
      <c r="V635" s="8"/>
      <c r="W635" s="8"/>
      <c r="X635" s="7"/>
      <c r="Y635" s="10"/>
      <c r="Z635" s="10"/>
      <c r="AA635" s="2"/>
      <c r="AB635" s="7"/>
      <c r="AC635" s="14"/>
      <c r="AE635" s="7"/>
      <c r="AG635" s="15"/>
      <c r="AJ635" s="2"/>
    </row>
    <row r="636" spans="1:36" s="12" customFormat="1" ht="14" customHeight="1" x14ac:dyDescent="0.2">
      <c r="B636" s="10"/>
      <c r="C636" s="10"/>
      <c r="D636" s="13"/>
      <c r="E636" s="10"/>
      <c r="F636" s="10"/>
      <c r="G636" s="26"/>
      <c r="H636" s="10"/>
      <c r="I636" s="10"/>
      <c r="J636" s="10"/>
      <c r="K636" s="10"/>
      <c r="L636" s="13"/>
      <c r="M636" s="6"/>
      <c r="N636" s="7"/>
      <c r="O636" s="7"/>
      <c r="P636" s="2"/>
      <c r="Q636" s="2"/>
      <c r="R636" s="7"/>
      <c r="S636" s="13"/>
      <c r="T636" s="13"/>
      <c r="U636" s="8"/>
      <c r="V636" s="8"/>
      <c r="W636" s="8"/>
      <c r="X636" s="7"/>
      <c r="Y636" s="10"/>
      <c r="Z636" s="10"/>
      <c r="AA636" s="2"/>
      <c r="AB636" s="7"/>
      <c r="AC636" s="14"/>
      <c r="AD636" s="15"/>
      <c r="AE636" s="7"/>
      <c r="AG636" s="15"/>
      <c r="AJ636" s="2"/>
    </row>
    <row r="637" spans="1:36" s="12" customFormat="1" ht="14" customHeight="1" x14ac:dyDescent="0.2">
      <c r="A637" s="15"/>
      <c r="B637" s="10"/>
      <c r="C637" s="10"/>
      <c r="D637" s="13"/>
      <c r="E637" s="10"/>
      <c r="F637" s="10"/>
      <c r="G637" s="26"/>
      <c r="H637" s="10"/>
      <c r="I637" s="10"/>
      <c r="J637" s="10"/>
      <c r="K637" s="10"/>
      <c r="L637" s="13"/>
      <c r="M637" s="6"/>
      <c r="N637" s="7"/>
      <c r="O637" s="7"/>
      <c r="P637" s="2"/>
      <c r="Q637" s="2"/>
      <c r="R637" s="7"/>
      <c r="S637" s="13"/>
      <c r="T637" s="13"/>
      <c r="U637" s="8"/>
      <c r="V637" s="8"/>
      <c r="W637" s="8"/>
      <c r="X637" s="7"/>
      <c r="Y637" s="10"/>
      <c r="Z637" s="10"/>
      <c r="AA637" s="2"/>
      <c r="AB637" s="7"/>
      <c r="AC637" s="14"/>
      <c r="AD637" s="15"/>
      <c r="AE637" s="7"/>
      <c r="AG637" s="15"/>
      <c r="AJ637" s="2"/>
    </row>
    <row r="638" spans="1:36" s="12" customFormat="1" ht="14" customHeight="1" x14ac:dyDescent="0.2">
      <c r="B638" s="10"/>
      <c r="C638" s="10"/>
      <c r="D638" s="13"/>
      <c r="E638" s="10"/>
      <c r="F638" s="10"/>
      <c r="G638" s="26"/>
      <c r="H638" s="10"/>
      <c r="I638" s="10"/>
      <c r="J638" s="10"/>
      <c r="K638" s="10"/>
      <c r="L638" s="13"/>
      <c r="M638" s="13"/>
      <c r="N638" s="9"/>
      <c r="O638" s="9"/>
      <c r="P638" s="2"/>
      <c r="Q638" s="2"/>
      <c r="R638" s="7"/>
      <c r="S638" s="13"/>
      <c r="T638" s="13"/>
      <c r="U638" s="8"/>
      <c r="V638" s="8"/>
      <c r="W638" s="8"/>
      <c r="X638" s="7"/>
      <c r="Y638" s="10"/>
      <c r="Z638" s="10"/>
      <c r="AA638" s="2"/>
      <c r="AB638" s="7"/>
      <c r="AC638" s="14"/>
      <c r="AE638" s="7"/>
      <c r="AG638" s="15"/>
      <c r="AJ638" s="2"/>
    </row>
    <row r="639" spans="1:36" s="12" customFormat="1" ht="14" customHeight="1" x14ac:dyDescent="0.2">
      <c r="A639" s="15"/>
      <c r="B639" s="10"/>
      <c r="C639" s="10"/>
      <c r="D639" s="13"/>
      <c r="E639" s="10"/>
      <c r="F639" s="10"/>
      <c r="G639" s="26"/>
      <c r="H639" s="10"/>
      <c r="I639" s="10"/>
      <c r="J639" s="10"/>
      <c r="K639" s="7"/>
      <c r="L639" s="13"/>
      <c r="M639" s="6"/>
      <c r="N639" s="7"/>
      <c r="O639" s="7"/>
      <c r="P639" s="2"/>
      <c r="Q639" s="2"/>
      <c r="R639" s="7"/>
      <c r="S639" s="13"/>
      <c r="T639" s="13"/>
      <c r="U639" s="8"/>
      <c r="V639" s="8"/>
      <c r="W639" s="8"/>
      <c r="X639" s="7"/>
      <c r="Y639" s="10"/>
      <c r="Z639" s="10"/>
      <c r="AA639" s="2"/>
      <c r="AB639" s="7"/>
      <c r="AC639" s="14"/>
      <c r="AD639" s="15"/>
      <c r="AE639" s="7"/>
      <c r="AG639" s="15"/>
      <c r="AJ639" s="2"/>
    </row>
    <row r="640" spans="1:36" s="12" customFormat="1" ht="14" customHeight="1" x14ac:dyDescent="0.2">
      <c r="B640" s="10"/>
      <c r="C640" s="10"/>
      <c r="D640" s="13"/>
      <c r="E640" s="10"/>
      <c r="F640" s="10"/>
      <c r="G640" s="26"/>
      <c r="H640" s="10"/>
      <c r="I640" s="10"/>
      <c r="J640" s="10"/>
      <c r="K640" s="10"/>
      <c r="L640" s="13"/>
      <c r="M640" s="6"/>
      <c r="N640" s="7"/>
      <c r="O640" s="7"/>
      <c r="P640" s="2"/>
      <c r="Q640" s="2"/>
      <c r="R640" s="7"/>
      <c r="S640" s="13"/>
      <c r="T640" s="13"/>
      <c r="U640" s="8"/>
      <c r="V640" s="8"/>
      <c r="W640" s="8"/>
      <c r="X640" s="7"/>
      <c r="Y640" s="10"/>
      <c r="Z640" s="10"/>
      <c r="AA640" s="2"/>
      <c r="AB640" s="7"/>
      <c r="AC640" s="14"/>
      <c r="AD640" s="15"/>
      <c r="AE640" s="7"/>
      <c r="AG640" s="15"/>
      <c r="AJ640" s="2"/>
    </row>
    <row r="641" spans="1:36" s="12" customFormat="1" ht="14" customHeight="1" x14ac:dyDescent="0.2">
      <c r="A641" s="15"/>
      <c r="B641" s="10"/>
      <c r="C641" s="10"/>
      <c r="D641" s="13"/>
      <c r="E641" s="10"/>
      <c r="F641" s="10"/>
      <c r="G641" s="26"/>
      <c r="H641" s="10"/>
      <c r="I641" s="10"/>
      <c r="J641" s="10"/>
      <c r="K641" s="7"/>
      <c r="L641" s="13"/>
      <c r="M641" s="6"/>
      <c r="N641" s="7"/>
      <c r="O641" s="7"/>
      <c r="P641" s="2"/>
      <c r="Q641" s="2"/>
      <c r="R641" s="7"/>
      <c r="S641" s="13"/>
      <c r="T641" s="13"/>
      <c r="U641" s="8"/>
      <c r="V641" s="8"/>
      <c r="W641" s="8"/>
      <c r="X641" s="7"/>
      <c r="Y641" s="10"/>
      <c r="Z641" s="10"/>
      <c r="AA641" s="2"/>
      <c r="AB641" s="7"/>
      <c r="AC641" s="14"/>
      <c r="AD641" s="15"/>
      <c r="AE641" s="7"/>
      <c r="AG641" s="15"/>
      <c r="AJ641" s="2"/>
    </row>
    <row r="642" spans="1:36" s="12" customFormat="1" ht="14" customHeight="1" x14ac:dyDescent="0.2">
      <c r="B642" s="10"/>
      <c r="C642" s="10"/>
      <c r="D642" s="13"/>
      <c r="E642" s="10"/>
      <c r="F642" s="10"/>
      <c r="G642" s="26"/>
      <c r="H642" s="10"/>
      <c r="I642" s="10"/>
      <c r="J642" s="10"/>
      <c r="K642" s="10"/>
      <c r="L642" s="13"/>
      <c r="M642" s="6"/>
      <c r="N642" s="7"/>
      <c r="O642" s="7"/>
      <c r="P642" s="2"/>
      <c r="Q642" s="2"/>
      <c r="R642" s="7"/>
      <c r="S642" s="13"/>
      <c r="T642" s="13"/>
      <c r="U642" s="8"/>
      <c r="V642" s="8"/>
      <c r="W642" s="8"/>
      <c r="X642" s="7"/>
      <c r="Y642" s="10"/>
      <c r="Z642" s="10"/>
      <c r="AA642" s="2"/>
      <c r="AB642" s="7"/>
      <c r="AC642" s="14"/>
      <c r="AD642" s="15"/>
      <c r="AE642" s="7"/>
      <c r="AG642" s="15"/>
      <c r="AJ642" s="2"/>
    </row>
    <row r="643" spans="1:36" s="12" customFormat="1" ht="14" customHeight="1" x14ac:dyDescent="0.2">
      <c r="B643" s="10"/>
      <c r="C643" s="10"/>
      <c r="D643" s="13"/>
      <c r="E643" s="10"/>
      <c r="F643" s="10"/>
      <c r="G643" s="26"/>
      <c r="H643" s="10"/>
      <c r="I643" s="10"/>
      <c r="J643" s="10"/>
      <c r="K643" s="10"/>
      <c r="L643" s="13"/>
      <c r="M643" s="6"/>
      <c r="N643" s="7"/>
      <c r="O643" s="7"/>
      <c r="P643" s="2"/>
      <c r="Q643" s="2"/>
      <c r="R643" s="7"/>
      <c r="S643" s="13"/>
      <c r="T643" s="13"/>
      <c r="U643" s="8"/>
      <c r="V643" s="8"/>
      <c r="W643" s="8"/>
      <c r="X643" s="7"/>
      <c r="Y643" s="10"/>
      <c r="Z643" s="10"/>
      <c r="AA643" s="2"/>
      <c r="AB643" s="7"/>
      <c r="AC643" s="14"/>
      <c r="AD643" s="18"/>
      <c r="AE643" s="7"/>
      <c r="AG643" s="15"/>
      <c r="AJ643" s="2"/>
    </row>
    <row r="644" spans="1:36" s="12" customFormat="1" ht="14" customHeight="1" x14ac:dyDescent="0.2">
      <c r="A644" s="15"/>
      <c r="B644" s="10"/>
      <c r="C644" s="10"/>
      <c r="D644" s="13"/>
      <c r="E644" s="10"/>
      <c r="F644" s="10"/>
      <c r="G644" s="26"/>
      <c r="H644" s="10"/>
      <c r="I644" s="10"/>
      <c r="J644" s="10"/>
      <c r="K644" s="7"/>
      <c r="L644" s="13"/>
      <c r="M644" s="6"/>
      <c r="N644" s="7"/>
      <c r="O644" s="7"/>
      <c r="P644" s="2"/>
      <c r="Q644" s="2"/>
      <c r="R644" s="7"/>
      <c r="S644" s="13"/>
      <c r="T644" s="13"/>
      <c r="U644" s="8"/>
      <c r="V644" s="8"/>
      <c r="W644" s="8"/>
      <c r="X644" s="7"/>
      <c r="Y644" s="10"/>
      <c r="Z644" s="10"/>
      <c r="AA644" s="2"/>
      <c r="AB644" s="7"/>
      <c r="AC644" s="14"/>
      <c r="AD644" s="15"/>
      <c r="AE644" s="7"/>
      <c r="AG644" s="15"/>
      <c r="AJ644" s="2"/>
    </row>
    <row r="645" spans="1:36" s="12" customFormat="1" ht="14" customHeight="1" x14ac:dyDescent="0.2">
      <c r="A645" s="15"/>
      <c r="B645" s="10"/>
      <c r="C645" s="10"/>
      <c r="D645" s="13"/>
      <c r="E645" s="10"/>
      <c r="F645" s="10"/>
      <c r="G645" s="26"/>
      <c r="H645" s="10"/>
      <c r="I645" s="10"/>
      <c r="J645" s="10"/>
      <c r="K645" s="7"/>
      <c r="L645" s="13"/>
      <c r="M645" s="6"/>
      <c r="N645" s="7"/>
      <c r="O645" s="7"/>
      <c r="P645" s="2"/>
      <c r="Q645" s="2"/>
      <c r="R645" s="7"/>
      <c r="S645" s="13"/>
      <c r="T645" s="13"/>
      <c r="U645" s="8"/>
      <c r="V645" s="8"/>
      <c r="W645" s="8"/>
      <c r="X645" s="7"/>
      <c r="Y645" s="10"/>
      <c r="Z645" s="10"/>
      <c r="AA645" s="2"/>
      <c r="AB645" s="7"/>
      <c r="AC645" s="14"/>
      <c r="AD645" s="15"/>
      <c r="AE645" s="7"/>
      <c r="AG645" s="15"/>
      <c r="AJ645" s="2"/>
    </row>
    <row r="646" spans="1:36" s="12" customFormat="1" ht="14" customHeight="1" x14ac:dyDescent="0.2">
      <c r="A646" s="15"/>
      <c r="B646" s="10"/>
      <c r="C646" s="10"/>
      <c r="D646" s="13"/>
      <c r="E646" s="10"/>
      <c r="F646" s="10"/>
      <c r="G646" s="26"/>
      <c r="H646" s="10"/>
      <c r="I646" s="10"/>
      <c r="J646" s="10"/>
      <c r="K646" s="10"/>
      <c r="L646" s="13"/>
      <c r="M646" s="13"/>
      <c r="N646" s="9"/>
      <c r="O646" s="9"/>
      <c r="P646" s="2"/>
      <c r="Q646" s="2"/>
      <c r="R646" s="7"/>
      <c r="S646" s="13"/>
      <c r="T646" s="13"/>
      <c r="U646" s="8"/>
      <c r="V646" s="8"/>
      <c r="W646" s="8"/>
      <c r="X646" s="7"/>
      <c r="Y646" s="10"/>
      <c r="Z646" s="10"/>
      <c r="AA646" s="2"/>
      <c r="AB646" s="7"/>
      <c r="AC646" s="14"/>
      <c r="AD646" s="15"/>
      <c r="AE646" s="7"/>
      <c r="AG646" s="15"/>
      <c r="AJ646" s="2"/>
    </row>
    <row r="647" spans="1:36" s="12" customFormat="1" ht="14" customHeight="1" x14ac:dyDescent="0.2">
      <c r="B647" s="10"/>
      <c r="C647" s="10"/>
      <c r="D647" s="13"/>
      <c r="E647" s="10"/>
      <c r="F647" s="10"/>
      <c r="G647" s="26"/>
      <c r="H647" s="10"/>
      <c r="I647" s="10"/>
      <c r="J647" s="10"/>
      <c r="K647" s="9"/>
      <c r="L647" s="13"/>
      <c r="M647" s="13"/>
      <c r="N647" s="9"/>
      <c r="O647" s="9"/>
      <c r="P647" s="2"/>
      <c r="Q647" s="2"/>
      <c r="R647" s="7"/>
      <c r="S647" s="13"/>
      <c r="T647" s="13"/>
      <c r="U647" s="8"/>
      <c r="V647" s="8"/>
      <c r="W647" s="8"/>
      <c r="X647" s="7"/>
      <c r="Y647" s="10"/>
      <c r="Z647" s="10"/>
      <c r="AA647" s="2"/>
      <c r="AB647" s="7"/>
      <c r="AC647" s="14"/>
      <c r="AD647" s="15"/>
      <c r="AE647" s="7"/>
      <c r="AG647" s="15"/>
      <c r="AJ647" s="2"/>
    </row>
    <row r="648" spans="1:36" s="12" customFormat="1" ht="14" customHeight="1" x14ac:dyDescent="0.2">
      <c r="A648" s="15"/>
      <c r="B648" s="10"/>
      <c r="C648" s="10"/>
      <c r="D648" s="13"/>
      <c r="E648" s="10"/>
      <c r="F648" s="10"/>
      <c r="G648" s="26"/>
      <c r="H648" s="10"/>
      <c r="I648" s="10"/>
      <c r="J648" s="10"/>
      <c r="K648" s="9"/>
      <c r="L648" s="13"/>
      <c r="M648" s="6"/>
      <c r="N648" s="7"/>
      <c r="O648" s="7"/>
      <c r="P648" s="2"/>
      <c r="Q648" s="2"/>
      <c r="R648" s="7"/>
      <c r="S648" s="13"/>
      <c r="T648" s="13"/>
      <c r="U648" s="8"/>
      <c r="V648" s="8"/>
      <c r="W648" s="8"/>
      <c r="X648" s="7"/>
      <c r="Y648" s="10"/>
      <c r="Z648" s="10"/>
      <c r="AA648" s="2"/>
      <c r="AB648" s="7"/>
      <c r="AC648" s="14"/>
      <c r="AD648" s="15"/>
      <c r="AE648" s="7"/>
      <c r="AG648" s="15"/>
      <c r="AJ648" s="2"/>
    </row>
    <row r="649" spans="1:36" s="12" customFormat="1" ht="14" customHeight="1" x14ac:dyDescent="0.2">
      <c r="A649" s="15"/>
      <c r="B649" s="10"/>
      <c r="C649" s="10"/>
      <c r="D649" s="13"/>
      <c r="E649" s="10"/>
      <c r="F649" s="10"/>
      <c r="G649" s="26"/>
      <c r="H649" s="10"/>
      <c r="I649" s="10"/>
      <c r="J649" s="10"/>
      <c r="K649" s="10"/>
      <c r="L649" s="13"/>
      <c r="M649" s="6"/>
      <c r="N649" s="7"/>
      <c r="O649" s="7"/>
      <c r="P649" s="2"/>
      <c r="Q649" s="2"/>
      <c r="R649" s="7"/>
      <c r="S649" s="13"/>
      <c r="T649" s="13"/>
      <c r="U649" s="8"/>
      <c r="V649" s="8"/>
      <c r="W649" s="8"/>
      <c r="X649" s="7"/>
      <c r="Y649" s="10"/>
      <c r="Z649" s="10"/>
      <c r="AA649" s="2"/>
      <c r="AB649" s="7"/>
      <c r="AC649" s="14"/>
      <c r="AD649" s="15"/>
      <c r="AE649" s="7"/>
      <c r="AG649" s="15"/>
      <c r="AJ649" s="2"/>
    </row>
    <row r="650" spans="1:36" s="12" customFormat="1" ht="14" customHeight="1" x14ac:dyDescent="0.2">
      <c r="B650" s="10"/>
      <c r="C650" s="10"/>
      <c r="D650" s="13"/>
      <c r="E650" s="10"/>
      <c r="F650" s="10"/>
      <c r="G650" s="26"/>
      <c r="H650" s="10"/>
      <c r="I650" s="10"/>
      <c r="J650" s="10"/>
      <c r="K650" s="10"/>
      <c r="L650" s="13"/>
      <c r="M650" s="6"/>
      <c r="N650" s="7"/>
      <c r="O650" s="7"/>
      <c r="P650" s="2"/>
      <c r="Q650" s="2"/>
      <c r="R650" s="7"/>
      <c r="S650" s="13"/>
      <c r="T650" s="13"/>
      <c r="U650" s="8"/>
      <c r="V650" s="8"/>
      <c r="W650" s="8"/>
      <c r="X650" s="7"/>
      <c r="Y650" s="10"/>
      <c r="Z650" s="10"/>
      <c r="AA650" s="2"/>
      <c r="AB650" s="7"/>
      <c r="AC650" s="14"/>
      <c r="AD650" s="15"/>
      <c r="AE650" s="7"/>
      <c r="AG650" s="15"/>
      <c r="AJ650" s="2"/>
    </row>
    <row r="651" spans="1:36" s="12" customFormat="1" ht="14" customHeight="1" x14ac:dyDescent="0.2">
      <c r="B651" s="10"/>
      <c r="C651" s="10"/>
      <c r="D651" s="13"/>
      <c r="E651" s="10"/>
      <c r="F651" s="10"/>
      <c r="G651" s="26"/>
      <c r="H651" s="10"/>
      <c r="I651" s="10"/>
      <c r="J651" s="10"/>
      <c r="K651" s="10"/>
      <c r="L651" s="13"/>
      <c r="M651" s="6"/>
      <c r="N651" s="7"/>
      <c r="O651" s="7"/>
      <c r="P651" s="2"/>
      <c r="Q651" s="2"/>
      <c r="R651" s="7"/>
      <c r="S651" s="13"/>
      <c r="T651" s="13"/>
      <c r="U651" s="8"/>
      <c r="V651" s="8"/>
      <c r="W651" s="8"/>
      <c r="X651" s="7"/>
      <c r="Y651" s="10"/>
      <c r="Z651" s="10"/>
      <c r="AA651" s="2"/>
      <c r="AB651" s="7"/>
      <c r="AC651" s="14"/>
      <c r="AD651" s="15"/>
      <c r="AE651" s="7"/>
      <c r="AG651" s="15"/>
      <c r="AJ651" s="2"/>
    </row>
    <row r="652" spans="1:36" s="12" customFormat="1" ht="14" customHeight="1" x14ac:dyDescent="0.2">
      <c r="B652" s="10"/>
      <c r="C652" s="10"/>
      <c r="D652" s="13"/>
      <c r="E652" s="10"/>
      <c r="F652" s="10"/>
      <c r="G652" s="26"/>
      <c r="H652" s="10"/>
      <c r="I652" s="10"/>
      <c r="J652" s="10"/>
      <c r="K652" s="10"/>
      <c r="L652" s="13"/>
      <c r="M652" s="6"/>
      <c r="N652" s="7"/>
      <c r="O652" s="7"/>
      <c r="P652" s="2"/>
      <c r="Q652" s="2"/>
      <c r="R652" s="7"/>
      <c r="S652" s="13"/>
      <c r="T652" s="13"/>
      <c r="U652" s="8"/>
      <c r="V652" s="8"/>
      <c r="W652" s="8"/>
      <c r="X652" s="7"/>
      <c r="Y652" s="10"/>
      <c r="Z652" s="10"/>
      <c r="AA652" s="2"/>
      <c r="AB652" s="7"/>
      <c r="AC652" s="14"/>
      <c r="AD652" s="15"/>
      <c r="AE652" s="7"/>
      <c r="AG652" s="15"/>
      <c r="AJ652" s="2"/>
    </row>
    <row r="653" spans="1:36" s="12" customFormat="1" ht="14" customHeight="1" x14ac:dyDescent="0.2">
      <c r="B653" s="10"/>
      <c r="C653" s="10"/>
      <c r="D653" s="13"/>
      <c r="E653" s="10"/>
      <c r="F653" s="10"/>
      <c r="G653" s="26"/>
      <c r="H653" s="10"/>
      <c r="I653" s="10"/>
      <c r="J653" s="10"/>
      <c r="K653" s="10"/>
      <c r="L653" s="13"/>
      <c r="M653" s="13"/>
      <c r="N653" s="9"/>
      <c r="O653" s="9"/>
      <c r="P653" s="2"/>
      <c r="Q653" s="2"/>
      <c r="R653" s="7"/>
      <c r="S653" s="13"/>
      <c r="T653" s="13"/>
      <c r="U653" s="8"/>
      <c r="V653" s="8"/>
      <c r="W653" s="8"/>
      <c r="X653" s="7"/>
      <c r="Y653" s="10"/>
      <c r="Z653" s="10"/>
      <c r="AA653" s="2"/>
      <c r="AB653" s="7"/>
      <c r="AC653" s="14"/>
      <c r="AD653" s="15"/>
      <c r="AE653" s="7"/>
      <c r="AG653" s="15"/>
      <c r="AJ653" s="2"/>
    </row>
    <row r="654" spans="1:36" s="12" customFormat="1" ht="14" customHeight="1" x14ac:dyDescent="0.2">
      <c r="B654" s="10"/>
      <c r="C654" s="10"/>
      <c r="D654" s="13"/>
      <c r="E654" s="10"/>
      <c r="F654" s="10"/>
      <c r="G654" s="26"/>
      <c r="H654" s="10"/>
      <c r="I654" s="10"/>
      <c r="J654" s="10"/>
      <c r="K654" s="9"/>
      <c r="L654" s="13"/>
      <c r="M654" s="13"/>
      <c r="N654" s="9"/>
      <c r="O654" s="9"/>
      <c r="P654" s="2"/>
      <c r="Q654" s="2"/>
      <c r="R654" s="7"/>
      <c r="S654" s="13"/>
      <c r="T654" s="13"/>
      <c r="U654" s="8"/>
      <c r="V654" s="8"/>
      <c r="W654" s="8"/>
      <c r="X654" s="7"/>
      <c r="Y654" s="10"/>
      <c r="Z654" s="10"/>
      <c r="AA654" s="2"/>
      <c r="AB654" s="7"/>
      <c r="AC654" s="14"/>
      <c r="AD654" s="18"/>
      <c r="AE654" s="7"/>
      <c r="AG654" s="15"/>
      <c r="AJ654" s="2"/>
    </row>
    <row r="655" spans="1:36" s="12" customFormat="1" ht="14" customHeight="1" x14ac:dyDescent="0.2">
      <c r="B655" s="10"/>
      <c r="C655" s="10"/>
      <c r="D655" s="13"/>
      <c r="E655" s="10"/>
      <c r="F655" s="10"/>
      <c r="G655" s="26"/>
      <c r="H655" s="10"/>
      <c r="I655" s="10"/>
      <c r="J655" s="10"/>
      <c r="K655" s="10"/>
      <c r="L655" s="13"/>
      <c r="M655" s="13"/>
      <c r="N655" s="9"/>
      <c r="O655" s="9"/>
      <c r="P655" s="2"/>
      <c r="Q655" s="2"/>
      <c r="R655" s="7"/>
      <c r="S655" s="13"/>
      <c r="T655" s="13"/>
      <c r="U655" s="8"/>
      <c r="V655" s="8"/>
      <c r="W655" s="8"/>
      <c r="X655" s="7"/>
      <c r="Y655" s="10"/>
      <c r="Z655" s="10"/>
      <c r="AA655" s="2"/>
      <c r="AB655" s="7"/>
      <c r="AC655" s="14"/>
      <c r="AD655" s="15"/>
      <c r="AE655" s="7"/>
      <c r="AG655" s="15"/>
      <c r="AJ655" s="2"/>
    </row>
    <row r="656" spans="1:36" s="12" customFormat="1" ht="14" customHeight="1" x14ac:dyDescent="0.2">
      <c r="B656" s="10"/>
      <c r="C656" s="10"/>
      <c r="D656" s="13"/>
      <c r="E656" s="10"/>
      <c r="F656" s="10"/>
      <c r="G656" s="26"/>
      <c r="H656" s="10"/>
      <c r="I656" s="10"/>
      <c r="J656" s="10"/>
      <c r="K656" s="10"/>
      <c r="L656" s="13"/>
      <c r="M656" s="6"/>
      <c r="N656" s="7"/>
      <c r="O656" s="7"/>
      <c r="P656" s="2"/>
      <c r="Q656" s="2"/>
      <c r="R656" s="7"/>
      <c r="S656" s="13"/>
      <c r="T656" s="13"/>
      <c r="U656" s="8"/>
      <c r="V656" s="8"/>
      <c r="W656" s="8"/>
      <c r="X656" s="7"/>
      <c r="Y656" s="10"/>
      <c r="Z656" s="10"/>
      <c r="AA656" s="2"/>
      <c r="AB656" s="7"/>
      <c r="AC656" s="14"/>
      <c r="AD656" s="15"/>
      <c r="AE656" s="7"/>
      <c r="AG656" s="15"/>
      <c r="AJ656" s="2"/>
    </row>
    <row r="657" spans="1:36" s="12" customFormat="1" ht="14" customHeight="1" x14ac:dyDescent="0.2">
      <c r="B657" s="10"/>
      <c r="C657" s="10"/>
      <c r="D657" s="13"/>
      <c r="E657" s="10"/>
      <c r="F657" s="10"/>
      <c r="G657" s="26"/>
      <c r="H657" s="10"/>
      <c r="I657" s="10"/>
      <c r="J657" s="10"/>
      <c r="K657" s="10"/>
      <c r="L657" s="13"/>
      <c r="M657" s="6"/>
      <c r="N657" s="7"/>
      <c r="O657" s="7"/>
      <c r="P657" s="2"/>
      <c r="Q657" s="2"/>
      <c r="R657" s="7"/>
      <c r="S657" s="13"/>
      <c r="T657" s="13"/>
      <c r="U657" s="8"/>
      <c r="V657" s="8"/>
      <c r="W657" s="8"/>
      <c r="X657" s="7"/>
      <c r="Y657" s="10"/>
      <c r="Z657" s="10"/>
      <c r="AA657" s="2"/>
      <c r="AB657" s="7"/>
      <c r="AC657" s="14"/>
      <c r="AD657" s="15"/>
      <c r="AE657" s="7"/>
      <c r="AG657" s="15"/>
      <c r="AJ657" s="2"/>
    </row>
    <row r="658" spans="1:36" s="12" customFormat="1" ht="14" customHeight="1" x14ac:dyDescent="0.2">
      <c r="B658" s="10"/>
      <c r="C658" s="10"/>
      <c r="D658" s="13"/>
      <c r="E658" s="10"/>
      <c r="F658" s="10"/>
      <c r="G658" s="26"/>
      <c r="H658" s="10"/>
      <c r="I658" s="10"/>
      <c r="J658" s="10"/>
      <c r="K658" s="10"/>
      <c r="L658" s="6"/>
      <c r="M658" s="6"/>
      <c r="N658" s="7"/>
      <c r="O658" s="7"/>
      <c r="P658" s="2"/>
      <c r="Q658" s="2"/>
      <c r="R658" s="7"/>
      <c r="S658" s="13"/>
      <c r="T658" s="13"/>
      <c r="U658" s="8"/>
      <c r="V658" s="8"/>
      <c r="W658" s="8"/>
      <c r="X658" s="7"/>
      <c r="Y658" s="10"/>
      <c r="Z658" s="10"/>
      <c r="AA658" s="2"/>
      <c r="AB658" s="7"/>
      <c r="AC658" s="14"/>
      <c r="AD658" s="15"/>
      <c r="AE658" s="7"/>
      <c r="AG658" s="15"/>
      <c r="AJ658" s="2"/>
    </row>
    <row r="659" spans="1:36" s="12" customFormat="1" ht="14" customHeight="1" x14ac:dyDescent="0.2">
      <c r="A659" s="15"/>
      <c r="B659" s="10"/>
      <c r="C659" s="10"/>
      <c r="D659" s="13"/>
      <c r="E659" s="10"/>
      <c r="F659" s="10"/>
      <c r="G659" s="26"/>
      <c r="H659" s="10"/>
      <c r="I659" s="10"/>
      <c r="J659" s="10"/>
      <c r="K659" s="10"/>
      <c r="L659" s="13"/>
      <c r="M659" s="13"/>
      <c r="N659" s="9"/>
      <c r="O659" s="9"/>
      <c r="P659" s="2"/>
      <c r="Q659" s="2"/>
      <c r="R659" s="7"/>
      <c r="S659" s="13"/>
      <c r="T659" s="13"/>
      <c r="U659" s="8"/>
      <c r="V659" s="8"/>
      <c r="W659" s="8"/>
      <c r="X659" s="7"/>
      <c r="Y659" s="10"/>
      <c r="Z659" s="10"/>
      <c r="AA659" s="2"/>
      <c r="AB659" s="7"/>
      <c r="AC659" s="14"/>
      <c r="AD659" s="15"/>
      <c r="AE659" s="7"/>
      <c r="AG659" s="15"/>
      <c r="AJ659" s="2"/>
    </row>
    <row r="660" spans="1:36" s="12" customFormat="1" ht="14" customHeight="1" x14ac:dyDescent="0.2">
      <c r="B660" s="10"/>
      <c r="C660" s="10"/>
      <c r="D660" s="6"/>
      <c r="E660" s="10"/>
      <c r="F660" s="10"/>
      <c r="G660" s="26"/>
      <c r="H660" s="10"/>
      <c r="I660" s="10"/>
      <c r="J660" s="10"/>
      <c r="K660" s="10"/>
      <c r="L660" s="13"/>
      <c r="M660" s="13"/>
      <c r="N660" s="9"/>
      <c r="O660" s="9"/>
      <c r="P660" s="2"/>
      <c r="Q660" s="2"/>
      <c r="R660" s="7"/>
      <c r="S660" s="13"/>
      <c r="T660" s="13"/>
      <c r="U660" s="8"/>
      <c r="V660" s="8"/>
      <c r="W660" s="8"/>
      <c r="X660" s="7"/>
      <c r="Y660" s="10"/>
      <c r="Z660" s="10"/>
      <c r="AA660" s="2"/>
      <c r="AB660" s="7"/>
      <c r="AC660" s="14"/>
      <c r="AE660" s="7"/>
      <c r="AG660" s="15"/>
      <c r="AJ660" s="2"/>
    </row>
    <row r="661" spans="1:36" s="12" customFormat="1" ht="14" customHeight="1" x14ac:dyDescent="0.2">
      <c r="A661" s="15"/>
      <c r="B661" s="10"/>
      <c r="C661" s="10"/>
      <c r="D661" s="13"/>
      <c r="E661" s="10"/>
      <c r="F661" s="10"/>
      <c r="G661" s="26"/>
      <c r="H661" s="10"/>
      <c r="I661" s="10"/>
      <c r="J661" s="10"/>
      <c r="K661" s="10"/>
      <c r="L661" s="13"/>
      <c r="M661" s="13"/>
      <c r="N661" s="9"/>
      <c r="O661" s="9"/>
      <c r="P661" s="2"/>
      <c r="Q661" s="2"/>
      <c r="R661" s="7"/>
      <c r="S661" s="13"/>
      <c r="T661" s="13"/>
      <c r="U661" s="8"/>
      <c r="V661" s="8"/>
      <c r="W661" s="8"/>
      <c r="X661" s="7"/>
      <c r="Y661" s="10"/>
      <c r="Z661" s="10"/>
      <c r="AA661" s="2"/>
      <c r="AB661" s="7"/>
      <c r="AC661" s="14"/>
      <c r="AD661" s="18"/>
      <c r="AE661" s="7"/>
      <c r="AG661" s="15"/>
      <c r="AJ661" s="2"/>
    </row>
    <row r="662" spans="1:36" s="12" customFormat="1" ht="14" customHeight="1" x14ac:dyDescent="0.2">
      <c r="B662" s="10"/>
      <c r="C662" s="10"/>
      <c r="D662" s="13"/>
      <c r="E662" s="10"/>
      <c r="F662" s="10"/>
      <c r="G662" s="26"/>
      <c r="H662" s="10"/>
      <c r="I662" s="10"/>
      <c r="J662" s="10"/>
      <c r="K662" s="10"/>
      <c r="L662" s="13"/>
      <c r="M662" s="6"/>
      <c r="N662" s="7"/>
      <c r="O662" s="7"/>
      <c r="P662" s="2"/>
      <c r="Q662" s="2"/>
      <c r="R662" s="7"/>
      <c r="S662" s="13"/>
      <c r="T662" s="13"/>
      <c r="U662" s="8"/>
      <c r="V662" s="8"/>
      <c r="W662" s="8"/>
      <c r="X662" s="7"/>
      <c r="Y662" s="10"/>
      <c r="Z662" s="10"/>
      <c r="AA662" s="2"/>
      <c r="AB662" s="7"/>
      <c r="AC662" s="14"/>
      <c r="AD662" s="15"/>
      <c r="AE662" s="7"/>
      <c r="AG662" s="15"/>
      <c r="AJ662" s="2"/>
    </row>
    <row r="663" spans="1:36" s="12" customFormat="1" ht="14" customHeight="1" x14ac:dyDescent="0.2">
      <c r="A663" s="15"/>
      <c r="B663" s="10"/>
      <c r="C663" s="10"/>
      <c r="D663" s="13"/>
      <c r="E663" s="10"/>
      <c r="F663" s="10"/>
      <c r="G663" s="26"/>
      <c r="H663" s="10"/>
      <c r="I663" s="10"/>
      <c r="J663" s="10"/>
      <c r="K663" s="10"/>
      <c r="L663" s="13"/>
      <c r="M663" s="13"/>
      <c r="N663" s="9"/>
      <c r="O663" s="9"/>
      <c r="P663" s="2"/>
      <c r="Q663" s="2"/>
      <c r="R663" s="7"/>
      <c r="S663" s="13"/>
      <c r="T663" s="13"/>
      <c r="U663" s="8"/>
      <c r="V663" s="8"/>
      <c r="W663" s="8"/>
      <c r="X663" s="7"/>
      <c r="Y663" s="10"/>
      <c r="Z663" s="10"/>
      <c r="AA663" s="2"/>
      <c r="AB663" s="7"/>
      <c r="AC663" s="14"/>
      <c r="AD663" s="15"/>
      <c r="AE663" s="7"/>
      <c r="AG663" s="15"/>
      <c r="AJ663" s="2"/>
    </row>
    <row r="664" spans="1:36" s="12" customFormat="1" ht="14" customHeight="1" x14ac:dyDescent="0.2">
      <c r="A664" s="15"/>
      <c r="B664" s="10"/>
      <c r="C664" s="10"/>
      <c r="D664" s="13"/>
      <c r="E664" s="10"/>
      <c r="F664" s="10"/>
      <c r="G664" s="26"/>
      <c r="H664" s="10"/>
      <c r="I664" s="10"/>
      <c r="J664" s="10"/>
      <c r="K664" s="10"/>
      <c r="L664" s="13"/>
      <c r="M664" s="13"/>
      <c r="N664" s="9"/>
      <c r="O664" s="9"/>
      <c r="P664" s="2"/>
      <c r="Q664" s="2"/>
      <c r="R664" s="7"/>
      <c r="S664" s="13"/>
      <c r="T664" s="13"/>
      <c r="U664" s="8"/>
      <c r="V664" s="8"/>
      <c r="W664" s="8"/>
      <c r="X664" s="7"/>
      <c r="Y664" s="10"/>
      <c r="Z664" s="10"/>
      <c r="AA664" s="2"/>
      <c r="AB664" s="7"/>
      <c r="AC664" s="14"/>
      <c r="AD664" s="15"/>
      <c r="AE664" s="7"/>
      <c r="AG664" s="15"/>
      <c r="AJ664" s="2"/>
    </row>
    <row r="665" spans="1:36" s="12" customFormat="1" ht="14" customHeight="1" x14ac:dyDescent="0.2">
      <c r="A665" s="15"/>
      <c r="B665" s="10"/>
      <c r="C665" s="10"/>
      <c r="D665" s="13"/>
      <c r="E665" s="10"/>
      <c r="F665" s="10"/>
      <c r="G665" s="26"/>
      <c r="H665" s="10"/>
      <c r="I665" s="10"/>
      <c r="J665" s="10"/>
      <c r="K665" s="10"/>
      <c r="L665" s="6"/>
      <c r="M665" s="6"/>
      <c r="N665" s="7"/>
      <c r="O665" s="7"/>
      <c r="P665" s="2"/>
      <c r="Q665" s="2"/>
      <c r="R665" s="7"/>
      <c r="S665" s="13"/>
      <c r="T665" s="13"/>
      <c r="U665" s="8"/>
      <c r="V665" s="8"/>
      <c r="W665" s="8"/>
      <c r="X665" s="7"/>
      <c r="Y665" s="10"/>
      <c r="Z665" s="10"/>
      <c r="AA665" s="2"/>
      <c r="AB665" s="7"/>
      <c r="AC665" s="14"/>
      <c r="AD665" s="18"/>
      <c r="AE665" s="7"/>
      <c r="AG665" s="15"/>
      <c r="AJ665" s="2"/>
    </row>
    <row r="666" spans="1:36" s="12" customFormat="1" ht="14" customHeight="1" x14ac:dyDescent="0.2">
      <c r="A666" s="15"/>
      <c r="B666" s="10"/>
      <c r="C666" s="10"/>
      <c r="D666" s="13"/>
      <c r="E666" s="10"/>
      <c r="F666" s="10"/>
      <c r="G666" s="26"/>
      <c r="H666" s="10"/>
      <c r="I666" s="10"/>
      <c r="J666" s="10"/>
      <c r="K666" s="10"/>
      <c r="L666" s="13"/>
      <c r="M666" s="13"/>
      <c r="N666" s="9"/>
      <c r="O666" s="9"/>
      <c r="P666" s="2"/>
      <c r="Q666" s="2"/>
      <c r="R666" s="7"/>
      <c r="S666" s="13"/>
      <c r="T666" s="13"/>
      <c r="U666" s="8"/>
      <c r="V666" s="8"/>
      <c r="W666" s="8"/>
      <c r="X666" s="7"/>
      <c r="Y666" s="10"/>
      <c r="Z666" s="10"/>
      <c r="AA666" s="2"/>
      <c r="AB666" s="7"/>
      <c r="AC666" s="14"/>
      <c r="AD666" s="15"/>
      <c r="AE666" s="7"/>
      <c r="AG666" s="15"/>
      <c r="AJ666" s="2"/>
    </row>
    <row r="667" spans="1:36" s="12" customFormat="1" ht="14" customHeight="1" x14ac:dyDescent="0.2">
      <c r="B667" s="10"/>
      <c r="C667" s="10"/>
      <c r="D667" s="13"/>
      <c r="E667" s="10"/>
      <c r="F667" s="10"/>
      <c r="G667" s="26"/>
      <c r="H667" s="10"/>
      <c r="I667" s="10"/>
      <c r="J667" s="10"/>
      <c r="K667" s="9"/>
      <c r="L667" s="13"/>
      <c r="M667" s="13"/>
      <c r="N667" s="9"/>
      <c r="O667" s="9"/>
      <c r="P667" s="2"/>
      <c r="Q667" s="2"/>
      <c r="R667" s="7"/>
      <c r="S667" s="13"/>
      <c r="T667" s="13"/>
      <c r="U667" s="8"/>
      <c r="V667" s="8"/>
      <c r="W667" s="8"/>
      <c r="X667" s="7"/>
      <c r="Y667" s="10"/>
      <c r="Z667" s="10"/>
      <c r="AA667" s="2"/>
      <c r="AB667" s="7"/>
      <c r="AC667" s="14"/>
      <c r="AD667" s="15"/>
      <c r="AE667" s="7"/>
      <c r="AG667" s="15"/>
      <c r="AJ667" s="2"/>
    </row>
    <row r="668" spans="1:36" s="12" customFormat="1" ht="14" customHeight="1" x14ac:dyDescent="0.2">
      <c r="A668" s="15"/>
      <c r="B668" s="10"/>
      <c r="C668" s="10"/>
      <c r="D668" s="13"/>
      <c r="E668" s="10"/>
      <c r="F668" s="10"/>
      <c r="G668" s="26"/>
      <c r="H668" s="10"/>
      <c r="I668" s="10"/>
      <c r="J668" s="10"/>
      <c r="K668" s="10"/>
      <c r="L668" s="13"/>
      <c r="M668" s="13"/>
      <c r="N668" s="9"/>
      <c r="O668" s="9"/>
      <c r="P668" s="2"/>
      <c r="Q668" s="2"/>
      <c r="R668" s="7"/>
      <c r="S668" s="13"/>
      <c r="T668" s="13"/>
      <c r="U668" s="8"/>
      <c r="V668" s="8"/>
      <c r="W668" s="8"/>
      <c r="X668" s="7"/>
      <c r="Y668" s="10"/>
      <c r="Z668" s="10"/>
      <c r="AA668" s="2"/>
      <c r="AB668" s="7"/>
      <c r="AC668" s="14"/>
      <c r="AD668" s="15"/>
      <c r="AE668" s="7"/>
      <c r="AG668" s="15"/>
      <c r="AJ668" s="2"/>
    </row>
    <row r="669" spans="1:36" s="12" customFormat="1" ht="14" customHeight="1" x14ac:dyDescent="0.2">
      <c r="A669" s="15"/>
      <c r="B669" s="10"/>
      <c r="C669" s="10"/>
      <c r="D669" s="13"/>
      <c r="E669" s="10"/>
      <c r="F669" s="10"/>
      <c r="G669" s="26"/>
      <c r="H669" s="10"/>
      <c r="I669" s="10"/>
      <c r="J669" s="10"/>
      <c r="K669" s="10"/>
      <c r="L669" s="13"/>
      <c r="M669" s="13"/>
      <c r="N669" s="9"/>
      <c r="O669" s="9"/>
      <c r="P669" s="2"/>
      <c r="Q669" s="2"/>
      <c r="R669" s="7"/>
      <c r="S669" s="13"/>
      <c r="T669" s="13"/>
      <c r="U669" s="8"/>
      <c r="V669" s="8"/>
      <c r="W669" s="8"/>
      <c r="X669" s="7"/>
      <c r="Y669" s="10"/>
      <c r="Z669" s="10"/>
      <c r="AA669" s="2"/>
      <c r="AB669" s="7"/>
      <c r="AC669" s="14"/>
      <c r="AD669" s="15"/>
      <c r="AE669" s="7"/>
      <c r="AG669" s="15"/>
      <c r="AJ669" s="2"/>
    </row>
    <row r="670" spans="1:36" s="12" customFormat="1" ht="14" customHeight="1" x14ac:dyDescent="0.2">
      <c r="A670" s="15"/>
      <c r="B670" s="10"/>
      <c r="C670" s="10"/>
      <c r="D670" s="13"/>
      <c r="E670" s="10"/>
      <c r="F670" s="10"/>
      <c r="G670" s="26"/>
      <c r="H670" s="10"/>
      <c r="I670" s="10"/>
      <c r="J670" s="10"/>
      <c r="K670" s="10"/>
      <c r="L670" s="13"/>
      <c r="M670" s="13"/>
      <c r="N670" s="9"/>
      <c r="O670" s="9"/>
      <c r="P670" s="2"/>
      <c r="Q670" s="2"/>
      <c r="R670" s="7"/>
      <c r="S670" s="13"/>
      <c r="T670" s="13"/>
      <c r="U670" s="8"/>
      <c r="V670" s="8"/>
      <c r="W670" s="8"/>
      <c r="X670" s="7"/>
      <c r="Y670" s="10"/>
      <c r="Z670" s="10"/>
      <c r="AA670" s="2"/>
      <c r="AB670" s="7"/>
      <c r="AC670" s="14"/>
      <c r="AD670" s="15"/>
      <c r="AE670" s="7"/>
      <c r="AG670" s="15"/>
      <c r="AJ670" s="2"/>
    </row>
    <row r="671" spans="1:36" s="12" customFormat="1" ht="14" customHeight="1" x14ac:dyDescent="0.2">
      <c r="B671" s="10"/>
      <c r="C671" s="10"/>
      <c r="D671" s="13"/>
      <c r="E671" s="10"/>
      <c r="F671" s="10"/>
      <c r="G671" s="26"/>
      <c r="H671" s="10"/>
      <c r="I671" s="10"/>
      <c r="J671" s="10"/>
      <c r="K671" s="7"/>
      <c r="L671" s="13"/>
      <c r="M671" s="13"/>
      <c r="N671" s="9"/>
      <c r="O671" s="9"/>
      <c r="P671" s="2"/>
      <c r="Q671" s="2"/>
      <c r="R671" s="7"/>
      <c r="S671" s="13"/>
      <c r="T671" s="13"/>
      <c r="U671" s="8"/>
      <c r="V671" s="8"/>
      <c r="W671" s="8"/>
      <c r="X671" s="7"/>
      <c r="Y671" s="10"/>
      <c r="Z671" s="10"/>
      <c r="AA671" s="2"/>
      <c r="AB671" s="7"/>
      <c r="AC671" s="14"/>
      <c r="AD671" s="15"/>
      <c r="AE671" s="7"/>
      <c r="AG671" s="15"/>
      <c r="AJ671" s="2"/>
    </row>
    <row r="672" spans="1:36" s="12" customFormat="1" ht="14" customHeight="1" x14ac:dyDescent="0.2">
      <c r="A672" s="15"/>
      <c r="B672" s="10"/>
      <c r="C672" s="10"/>
      <c r="D672" s="13"/>
      <c r="E672" s="10"/>
      <c r="F672" s="10"/>
      <c r="G672" s="26"/>
      <c r="H672" s="10"/>
      <c r="I672" s="10"/>
      <c r="J672" s="10"/>
      <c r="K672" s="10"/>
      <c r="L672" s="13"/>
      <c r="M672" s="13"/>
      <c r="N672" s="9"/>
      <c r="O672" s="9"/>
      <c r="P672" s="2"/>
      <c r="Q672" s="2"/>
      <c r="R672" s="7"/>
      <c r="S672" s="13"/>
      <c r="T672" s="13"/>
      <c r="U672" s="8"/>
      <c r="V672" s="8"/>
      <c r="W672" s="8"/>
      <c r="X672" s="7"/>
      <c r="Y672" s="10"/>
      <c r="Z672" s="10"/>
      <c r="AA672" s="2"/>
      <c r="AB672" s="7"/>
      <c r="AC672" s="14"/>
      <c r="AD672" s="15"/>
      <c r="AE672" s="7"/>
      <c r="AG672" s="15"/>
      <c r="AJ672" s="2"/>
    </row>
    <row r="673" spans="1:36" s="12" customFormat="1" ht="14" customHeight="1" x14ac:dyDescent="0.2">
      <c r="A673" s="15"/>
      <c r="B673" s="10"/>
      <c r="C673" s="10"/>
      <c r="D673" s="13"/>
      <c r="E673" s="10"/>
      <c r="F673" s="10"/>
      <c r="G673" s="26"/>
      <c r="H673" s="10"/>
      <c r="I673" s="10"/>
      <c r="J673" s="10"/>
      <c r="K673" s="10"/>
      <c r="L673" s="13"/>
      <c r="M673" s="13"/>
      <c r="N673" s="9"/>
      <c r="O673" s="9"/>
      <c r="P673" s="2"/>
      <c r="Q673" s="2"/>
      <c r="R673" s="7"/>
      <c r="S673" s="13"/>
      <c r="T673" s="13"/>
      <c r="U673" s="8"/>
      <c r="V673" s="8"/>
      <c r="W673" s="8"/>
      <c r="X673" s="7"/>
      <c r="Y673" s="10"/>
      <c r="Z673" s="10"/>
      <c r="AA673" s="2"/>
      <c r="AB673" s="7"/>
      <c r="AC673" s="14"/>
      <c r="AD673" s="15"/>
      <c r="AE673" s="7"/>
      <c r="AG673" s="15"/>
      <c r="AJ673" s="2"/>
    </row>
    <row r="674" spans="1:36" s="12" customFormat="1" ht="14" customHeight="1" x14ac:dyDescent="0.2">
      <c r="A674" s="15"/>
      <c r="B674" s="10"/>
      <c r="C674" s="10"/>
      <c r="D674" s="13"/>
      <c r="E674" s="10"/>
      <c r="F674" s="10"/>
      <c r="G674" s="26"/>
      <c r="H674" s="10"/>
      <c r="I674" s="10"/>
      <c r="J674" s="10"/>
      <c r="K674" s="10"/>
      <c r="L674" s="13"/>
      <c r="M674" s="13"/>
      <c r="N674" s="9"/>
      <c r="O674" s="9"/>
      <c r="P674" s="2"/>
      <c r="Q674" s="2"/>
      <c r="R674" s="7"/>
      <c r="S674" s="13"/>
      <c r="T674" s="13"/>
      <c r="U674" s="8"/>
      <c r="V674" s="8"/>
      <c r="W674" s="8"/>
      <c r="X674" s="7"/>
      <c r="Y674" s="10"/>
      <c r="Z674" s="10"/>
      <c r="AA674" s="2"/>
      <c r="AB674" s="7"/>
      <c r="AC674" s="14"/>
      <c r="AD674" s="15"/>
      <c r="AE674" s="7"/>
      <c r="AG674" s="15"/>
      <c r="AJ674" s="2"/>
    </row>
    <row r="675" spans="1:36" s="12" customFormat="1" ht="14" customHeight="1" x14ac:dyDescent="0.2">
      <c r="A675" s="15"/>
      <c r="B675" s="10"/>
      <c r="C675" s="10"/>
      <c r="D675" s="13"/>
      <c r="E675" s="10"/>
      <c r="F675" s="10"/>
      <c r="G675" s="26"/>
      <c r="H675" s="10"/>
      <c r="I675" s="10"/>
      <c r="J675" s="10"/>
      <c r="K675" s="10"/>
      <c r="L675" s="13"/>
      <c r="M675" s="13"/>
      <c r="N675" s="9"/>
      <c r="O675" s="9"/>
      <c r="P675" s="2"/>
      <c r="Q675" s="2"/>
      <c r="R675" s="7"/>
      <c r="S675" s="13"/>
      <c r="T675" s="13"/>
      <c r="U675" s="8"/>
      <c r="V675" s="8"/>
      <c r="W675" s="8"/>
      <c r="X675" s="7"/>
      <c r="Y675" s="10"/>
      <c r="Z675" s="10"/>
      <c r="AA675" s="2"/>
      <c r="AB675" s="7"/>
      <c r="AC675" s="14"/>
      <c r="AD675" s="15"/>
      <c r="AE675" s="7"/>
      <c r="AG675" s="15"/>
      <c r="AJ675" s="2"/>
    </row>
    <row r="676" spans="1:36" s="12" customFormat="1" ht="14" customHeight="1" x14ac:dyDescent="0.2">
      <c r="A676" s="15"/>
      <c r="B676" s="10"/>
      <c r="C676" s="10"/>
      <c r="D676" s="13"/>
      <c r="E676" s="10"/>
      <c r="F676" s="10"/>
      <c r="G676" s="26"/>
      <c r="H676" s="10"/>
      <c r="I676" s="10"/>
      <c r="J676" s="10"/>
      <c r="K676" s="7"/>
      <c r="L676" s="13"/>
      <c r="M676" s="6"/>
      <c r="N676" s="7"/>
      <c r="O676" s="7"/>
      <c r="P676" s="2"/>
      <c r="Q676" s="2"/>
      <c r="R676" s="7"/>
      <c r="S676" s="13"/>
      <c r="T676" s="13"/>
      <c r="U676" s="8"/>
      <c r="V676" s="8"/>
      <c r="W676" s="8"/>
      <c r="X676" s="7"/>
      <c r="Y676" s="10"/>
      <c r="Z676" s="10"/>
      <c r="AA676" s="2"/>
      <c r="AB676" s="7"/>
      <c r="AC676" s="14"/>
      <c r="AD676" s="18"/>
      <c r="AE676" s="7"/>
      <c r="AG676" s="15"/>
      <c r="AJ676" s="2"/>
    </row>
    <row r="677" spans="1:36" s="12" customFormat="1" ht="14" customHeight="1" x14ac:dyDescent="0.2">
      <c r="A677" s="15"/>
      <c r="B677" s="10"/>
      <c r="C677" s="10"/>
      <c r="D677" s="13"/>
      <c r="E677" s="10"/>
      <c r="F677" s="10"/>
      <c r="G677" s="26"/>
      <c r="H677" s="10"/>
      <c r="I677" s="10"/>
      <c r="J677" s="10"/>
      <c r="K677" s="10"/>
      <c r="L677" s="13"/>
      <c r="M677" s="13"/>
      <c r="N677" s="9"/>
      <c r="O677" s="9"/>
      <c r="P677" s="2"/>
      <c r="Q677" s="2"/>
      <c r="R677" s="7"/>
      <c r="S677" s="13"/>
      <c r="T677" s="13"/>
      <c r="U677" s="8"/>
      <c r="V677" s="8"/>
      <c r="W677" s="8"/>
      <c r="X677" s="7"/>
      <c r="Y677" s="10"/>
      <c r="Z677" s="10"/>
      <c r="AA677" s="2"/>
      <c r="AB677" s="7"/>
      <c r="AC677" s="14"/>
      <c r="AD677" s="15"/>
      <c r="AE677" s="7"/>
      <c r="AG677" s="15"/>
      <c r="AJ677" s="2"/>
    </row>
    <row r="678" spans="1:36" s="12" customFormat="1" ht="14" customHeight="1" x14ac:dyDescent="0.2">
      <c r="A678" s="15"/>
      <c r="B678" s="10"/>
      <c r="C678" s="10"/>
      <c r="D678" s="13"/>
      <c r="E678" s="10"/>
      <c r="F678" s="10"/>
      <c r="G678" s="26"/>
      <c r="H678" s="10"/>
      <c r="I678" s="10"/>
      <c r="J678" s="10"/>
      <c r="K678" s="10"/>
      <c r="L678" s="13"/>
      <c r="M678" s="13"/>
      <c r="N678" s="9"/>
      <c r="O678" s="9"/>
      <c r="P678" s="2"/>
      <c r="Q678" s="2"/>
      <c r="R678" s="7"/>
      <c r="S678" s="13"/>
      <c r="T678" s="13"/>
      <c r="U678" s="8"/>
      <c r="V678" s="8"/>
      <c r="W678" s="8"/>
      <c r="X678" s="7"/>
      <c r="Y678" s="10"/>
      <c r="Z678" s="10"/>
      <c r="AA678" s="2"/>
      <c r="AB678" s="7"/>
      <c r="AC678" s="14"/>
      <c r="AD678" s="15"/>
      <c r="AE678" s="7"/>
      <c r="AG678" s="15"/>
      <c r="AJ678" s="2"/>
    </row>
    <row r="679" spans="1:36" s="12" customFormat="1" ht="14" customHeight="1" x14ac:dyDescent="0.2">
      <c r="A679" s="15"/>
      <c r="B679" s="10"/>
      <c r="C679" s="10"/>
      <c r="D679" s="13"/>
      <c r="E679" s="10"/>
      <c r="F679" s="10"/>
      <c r="G679" s="26"/>
      <c r="H679" s="10"/>
      <c r="I679" s="10"/>
      <c r="J679" s="10"/>
      <c r="K679" s="10"/>
      <c r="L679" s="13"/>
      <c r="M679" s="13"/>
      <c r="N679" s="9"/>
      <c r="O679" s="9"/>
      <c r="P679" s="2"/>
      <c r="Q679" s="2"/>
      <c r="R679" s="7"/>
      <c r="S679" s="13"/>
      <c r="T679" s="13"/>
      <c r="U679" s="8"/>
      <c r="V679" s="8"/>
      <c r="W679" s="8"/>
      <c r="X679" s="7"/>
      <c r="Y679" s="10"/>
      <c r="Z679" s="10"/>
      <c r="AA679" s="2"/>
      <c r="AB679" s="7"/>
      <c r="AC679" s="14"/>
      <c r="AD679" s="15"/>
      <c r="AE679" s="7"/>
      <c r="AG679" s="15"/>
      <c r="AJ679" s="2"/>
    </row>
    <row r="680" spans="1:36" s="12" customFormat="1" ht="14" customHeight="1" x14ac:dyDescent="0.2">
      <c r="A680" s="15"/>
      <c r="B680" s="10"/>
      <c r="C680" s="10"/>
      <c r="D680" s="13"/>
      <c r="E680" s="10"/>
      <c r="F680" s="10"/>
      <c r="G680" s="26"/>
      <c r="H680" s="10"/>
      <c r="I680" s="10"/>
      <c r="J680" s="10"/>
      <c r="K680" s="10"/>
      <c r="L680" s="13"/>
      <c r="M680" s="13"/>
      <c r="N680" s="9"/>
      <c r="O680" s="9"/>
      <c r="P680" s="2"/>
      <c r="Q680" s="2"/>
      <c r="R680" s="7"/>
      <c r="S680" s="13"/>
      <c r="T680" s="13"/>
      <c r="U680" s="8"/>
      <c r="V680" s="8"/>
      <c r="W680" s="8"/>
      <c r="X680" s="7"/>
      <c r="Y680" s="10"/>
      <c r="Z680" s="10"/>
      <c r="AA680" s="2"/>
      <c r="AB680" s="7"/>
      <c r="AC680" s="14"/>
      <c r="AD680" s="15"/>
      <c r="AE680" s="7"/>
      <c r="AG680" s="15"/>
      <c r="AJ680" s="2"/>
    </row>
    <row r="681" spans="1:36" s="12" customFormat="1" ht="14" customHeight="1" x14ac:dyDescent="0.2">
      <c r="A681" s="15"/>
      <c r="B681" s="10"/>
      <c r="C681" s="10"/>
      <c r="D681" s="13"/>
      <c r="E681" s="10"/>
      <c r="F681" s="10"/>
      <c r="G681" s="26"/>
      <c r="H681" s="10"/>
      <c r="I681" s="10"/>
      <c r="J681" s="10"/>
      <c r="K681" s="10"/>
      <c r="L681" s="13"/>
      <c r="M681" s="13"/>
      <c r="N681" s="9"/>
      <c r="O681" s="9"/>
      <c r="P681" s="2"/>
      <c r="Q681" s="2"/>
      <c r="R681" s="7"/>
      <c r="S681" s="13"/>
      <c r="T681" s="13"/>
      <c r="U681" s="8"/>
      <c r="V681" s="8"/>
      <c r="W681" s="8"/>
      <c r="X681" s="7"/>
      <c r="Y681" s="10"/>
      <c r="Z681" s="10"/>
      <c r="AA681" s="2"/>
      <c r="AB681" s="7"/>
      <c r="AC681" s="14"/>
      <c r="AD681" s="15"/>
      <c r="AE681" s="7"/>
      <c r="AG681" s="15"/>
      <c r="AJ681" s="2"/>
    </row>
    <row r="682" spans="1:36" s="12" customFormat="1" ht="14" customHeight="1" x14ac:dyDescent="0.2">
      <c r="A682" s="15"/>
      <c r="B682" s="10"/>
      <c r="C682" s="10"/>
      <c r="D682" s="13"/>
      <c r="E682" s="10"/>
      <c r="F682" s="10"/>
      <c r="G682" s="26"/>
      <c r="H682" s="10"/>
      <c r="I682" s="10"/>
      <c r="J682" s="10"/>
      <c r="K682" s="10"/>
      <c r="L682" s="13"/>
      <c r="M682" s="13"/>
      <c r="N682" s="9"/>
      <c r="O682" s="9"/>
      <c r="P682" s="2"/>
      <c r="Q682" s="2"/>
      <c r="R682" s="7"/>
      <c r="S682" s="13"/>
      <c r="T682" s="13"/>
      <c r="U682" s="8"/>
      <c r="V682" s="8"/>
      <c r="W682" s="8"/>
      <c r="X682" s="7"/>
      <c r="Y682" s="10"/>
      <c r="Z682" s="10"/>
      <c r="AA682" s="2"/>
      <c r="AB682" s="7"/>
      <c r="AC682" s="14"/>
      <c r="AD682" s="15"/>
      <c r="AE682" s="7"/>
      <c r="AG682" s="15"/>
      <c r="AJ682" s="2"/>
    </row>
    <row r="683" spans="1:36" s="12" customFormat="1" ht="14" customHeight="1" x14ac:dyDescent="0.2">
      <c r="B683" s="10"/>
      <c r="C683" s="10"/>
      <c r="D683" s="13"/>
      <c r="E683" s="10"/>
      <c r="F683" s="10"/>
      <c r="G683" s="26"/>
      <c r="H683" s="10"/>
      <c r="I683" s="10"/>
      <c r="J683" s="10"/>
      <c r="K683" s="7"/>
      <c r="L683" s="13"/>
      <c r="M683" s="6"/>
      <c r="N683" s="7"/>
      <c r="O683" s="7"/>
      <c r="P683" s="2"/>
      <c r="Q683" s="2"/>
      <c r="R683" s="7"/>
      <c r="S683" s="13"/>
      <c r="T683" s="13"/>
      <c r="U683" s="8"/>
      <c r="V683" s="8"/>
      <c r="W683" s="8"/>
      <c r="X683" s="7"/>
      <c r="Y683" s="10"/>
      <c r="Z683" s="10"/>
      <c r="AA683" s="2"/>
      <c r="AB683" s="7"/>
      <c r="AC683" s="14"/>
      <c r="AD683" s="18"/>
      <c r="AE683" s="7"/>
      <c r="AG683" s="15"/>
      <c r="AJ683" s="2"/>
    </row>
    <row r="684" spans="1:36" s="12" customFormat="1" ht="14" customHeight="1" x14ac:dyDescent="0.2">
      <c r="B684" s="10"/>
      <c r="C684" s="10"/>
      <c r="D684" s="6"/>
      <c r="E684" s="10"/>
      <c r="F684" s="10"/>
      <c r="G684" s="26"/>
      <c r="H684" s="10"/>
      <c r="I684" s="10"/>
      <c r="J684" s="10"/>
      <c r="K684" s="10"/>
      <c r="L684" s="13"/>
      <c r="M684" s="13"/>
      <c r="N684" s="9"/>
      <c r="O684" s="9"/>
      <c r="P684" s="2"/>
      <c r="Q684" s="2"/>
      <c r="R684" s="7"/>
      <c r="S684" s="13"/>
      <c r="T684" s="13"/>
      <c r="U684" s="8"/>
      <c r="V684" s="8"/>
      <c r="W684" s="8"/>
      <c r="X684" s="7"/>
      <c r="Y684" s="10"/>
      <c r="Z684" s="10"/>
      <c r="AA684" s="2"/>
      <c r="AB684" s="7"/>
      <c r="AC684" s="14"/>
      <c r="AE684" s="7"/>
      <c r="AG684" s="15"/>
      <c r="AJ684" s="2"/>
    </row>
    <row r="685" spans="1:36" s="12" customFormat="1" ht="14" customHeight="1" x14ac:dyDescent="0.2">
      <c r="A685" s="15"/>
      <c r="B685" s="10"/>
      <c r="C685" s="10"/>
      <c r="D685" s="13"/>
      <c r="E685" s="10"/>
      <c r="F685" s="10"/>
      <c r="G685" s="26"/>
      <c r="H685" s="10"/>
      <c r="I685" s="10"/>
      <c r="J685" s="10"/>
      <c r="K685" s="10"/>
      <c r="L685" s="13"/>
      <c r="M685" s="13"/>
      <c r="N685" s="9"/>
      <c r="O685" s="9"/>
      <c r="P685" s="2"/>
      <c r="Q685" s="2"/>
      <c r="R685" s="7"/>
      <c r="S685" s="13"/>
      <c r="T685" s="13"/>
      <c r="U685" s="8"/>
      <c r="V685" s="8"/>
      <c r="W685" s="8"/>
      <c r="X685" s="7"/>
      <c r="Y685" s="10"/>
      <c r="Z685" s="10"/>
      <c r="AA685" s="2"/>
      <c r="AB685" s="7"/>
      <c r="AC685" s="14"/>
      <c r="AD685" s="15"/>
      <c r="AE685" s="7"/>
      <c r="AG685" s="15"/>
      <c r="AJ685" s="2"/>
    </row>
    <row r="686" spans="1:36" s="12" customFormat="1" ht="14" customHeight="1" x14ac:dyDescent="0.2">
      <c r="A686" s="15"/>
      <c r="B686" s="10"/>
      <c r="C686" s="10"/>
      <c r="D686" s="13"/>
      <c r="E686" s="10"/>
      <c r="F686" s="10"/>
      <c r="G686" s="26"/>
      <c r="H686" s="10"/>
      <c r="I686" s="10"/>
      <c r="J686" s="10"/>
      <c r="K686" s="10"/>
      <c r="L686" s="13"/>
      <c r="M686" s="13"/>
      <c r="N686" s="9"/>
      <c r="O686" s="9"/>
      <c r="P686" s="2"/>
      <c r="Q686" s="2"/>
      <c r="R686" s="7"/>
      <c r="S686" s="13"/>
      <c r="T686" s="13"/>
      <c r="U686" s="8"/>
      <c r="V686" s="8"/>
      <c r="W686" s="8"/>
      <c r="X686" s="7"/>
      <c r="Y686" s="10"/>
      <c r="Z686" s="10"/>
      <c r="AA686" s="2"/>
      <c r="AB686" s="7"/>
      <c r="AC686" s="14"/>
      <c r="AD686" s="15"/>
      <c r="AE686" s="7"/>
      <c r="AG686" s="15"/>
      <c r="AJ686" s="2"/>
    </row>
    <row r="687" spans="1:36" s="12" customFormat="1" ht="14" customHeight="1" x14ac:dyDescent="0.2">
      <c r="A687" s="15"/>
      <c r="B687" s="10"/>
      <c r="C687" s="10"/>
      <c r="D687" s="13"/>
      <c r="E687" s="10"/>
      <c r="F687" s="10"/>
      <c r="G687" s="26"/>
      <c r="H687" s="10"/>
      <c r="I687" s="10"/>
      <c r="J687" s="10"/>
      <c r="K687" s="10"/>
      <c r="L687" s="13"/>
      <c r="M687" s="6"/>
      <c r="N687" s="7"/>
      <c r="O687" s="7"/>
      <c r="P687" s="2"/>
      <c r="Q687" s="2"/>
      <c r="R687" s="7"/>
      <c r="S687" s="13"/>
      <c r="T687" s="13"/>
      <c r="U687" s="8"/>
      <c r="V687" s="8"/>
      <c r="W687" s="8"/>
      <c r="X687" s="7"/>
      <c r="Y687" s="10"/>
      <c r="Z687" s="10"/>
      <c r="AA687" s="2"/>
      <c r="AB687" s="7"/>
      <c r="AC687" s="14"/>
      <c r="AD687" s="15"/>
      <c r="AE687" s="7"/>
      <c r="AG687" s="15"/>
      <c r="AJ687" s="2"/>
    </row>
    <row r="688" spans="1:36" s="12" customFormat="1" ht="14" customHeight="1" x14ac:dyDescent="0.2">
      <c r="B688" s="10"/>
      <c r="C688" s="10"/>
      <c r="D688" s="13"/>
      <c r="E688" s="10"/>
      <c r="F688" s="10"/>
      <c r="G688" s="26"/>
      <c r="H688" s="10"/>
      <c r="I688" s="10"/>
      <c r="J688" s="10"/>
      <c r="K688" s="10"/>
      <c r="L688" s="6"/>
      <c r="M688" s="6"/>
      <c r="N688" s="7"/>
      <c r="O688" s="7"/>
      <c r="P688" s="2"/>
      <c r="Q688" s="2"/>
      <c r="R688" s="7"/>
      <c r="S688" s="13"/>
      <c r="T688" s="13"/>
      <c r="U688" s="8"/>
      <c r="V688" s="8"/>
      <c r="W688" s="8"/>
      <c r="X688" s="7"/>
      <c r="Y688" s="10"/>
      <c r="Z688" s="10"/>
      <c r="AA688" s="2"/>
      <c r="AB688" s="7"/>
      <c r="AC688" s="14"/>
      <c r="AD688" s="15"/>
      <c r="AE688" s="7"/>
      <c r="AG688" s="15"/>
      <c r="AJ688" s="2"/>
    </row>
    <row r="689" spans="1:36" s="12" customFormat="1" ht="14" customHeight="1" x14ac:dyDescent="0.2">
      <c r="B689" s="10"/>
      <c r="C689" s="10"/>
      <c r="D689" s="13"/>
      <c r="E689" s="10"/>
      <c r="F689" s="10"/>
      <c r="G689" s="26"/>
      <c r="H689" s="10"/>
      <c r="I689" s="10"/>
      <c r="J689" s="10"/>
      <c r="K689" s="10"/>
      <c r="L689" s="13"/>
      <c r="M689" s="6"/>
      <c r="N689" s="7"/>
      <c r="O689" s="7"/>
      <c r="P689" s="2"/>
      <c r="Q689" s="2"/>
      <c r="R689" s="7"/>
      <c r="S689" s="13"/>
      <c r="T689" s="13"/>
      <c r="U689" s="8"/>
      <c r="V689" s="8"/>
      <c r="W689" s="8"/>
      <c r="X689" s="7"/>
      <c r="Y689" s="10"/>
      <c r="Z689" s="10"/>
      <c r="AA689" s="2"/>
      <c r="AB689" s="7"/>
      <c r="AC689" s="14"/>
      <c r="AD689" s="15"/>
      <c r="AE689" s="7"/>
      <c r="AG689" s="15"/>
      <c r="AJ689" s="2"/>
    </row>
    <row r="690" spans="1:36" s="12" customFormat="1" ht="14" customHeight="1" x14ac:dyDescent="0.2">
      <c r="A690" s="15"/>
      <c r="B690" s="10"/>
      <c r="C690" s="10"/>
      <c r="D690" s="13"/>
      <c r="E690" s="10"/>
      <c r="F690" s="10"/>
      <c r="G690" s="26"/>
      <c r="H690" s="10"/>
      <c r="I690" s="10"/>
      <c r="J690" s="10"/>
      <c r="K690" s="10"/>
      <c r="L690" s="13"/>
      <c r="M690" s="13"/>
      <c r="N690" s="9"/>
      <c r="O690" s="9"/>
      <c r="P690" s="2"/>
      <c r="Q690" s="2"/>
      <c r="R690" s="7"/>
      <c r="S690" s="13"/>
      <c r="T690" s="13"/>
      <c r="U690" s="8"/>
      <c r="V690" s="8"/>
      <c r="W690" s="8"/>
      <c r="X690" s="7"/>
      <c r="Y690" s="10"/>
      <c r="Z690" s="10"/>
      <c r="AA690" s="2"/>
      <c r="AB690" s="7"/>
      <c r="AC690" s="14"/>
      <c r="AD690" s="15"/>
      <c r="AE690" s="7"/>
      <c r="AG690" s="15"/>
      <c r="AJ690" s="2"/>
    </row>
    <row r="691" spans="1:36" s="12" customFormat="1" ht="14" customHeight="1" x14ac:dyDescent="0.2">
      <c r="A691" s="15"/>
      <c r="B691" s="10"/>
      <c r="C691" s="10"/>
      <c r="D691" s="13"/>
      <c r="E691" s="10"/>
      <c r="F691" s="10"/>
      <c r="G691" s="26"/>
      <c r="H691" s="10"/>
      <c r="I691" s="10"/>
      <c r="J691" s="10"/>
      <c r="K691" s="10"/>
      <c r="L691" s="6"/>
      <c r="M691" s="6"/>
      <c r="N691" s="7"/>
      <c r="O691" s="7"/>
      <c r="P691" s="2"/>
      <c r="Q691" s="2"/>
      <c r="R691" s="7"/>
      <c r="S691" s="13"/>
      <c r="T691" s="13"/>
      <c r="U691" s="8"/>
      <c r="V691" s="8"/>
      <c r="W691" s="8"/>
      <c r="X691" s="7"/>
      <c r="Y691" s="10"/>
      <c r="Z691" s="10"/>
      <c r="AA691" s="2"/>
      <c r="AB691" s="7"/>
      <c r="AC691" s="14"/>
      <c r="AD691" s="15"/>
      <c r="AE691" s="7"/>
      <c r="AG691" s="15"/>
      <c r="AJ691" s="2"/>
    </row>
    <row r="692" spans="1:36" s="12" customFormat="1" ht="14" customHeight="1" x14ac:dyDescent="0.2">
      <c r="B692" s="10"/>
      <c r="C692" s="10"/>
      <c r="D692" s="13"/>
      <c r="E692" s="10"/>
      <c r="F692" s="10"/>
      <c r="G692" s="26"/>
      <c r="H692" s="10"/>
      <c r="I692" s="10"/>
      <c r="J692" s="10"/>
      <c r="K692" s="7"/>
      <c r="L692" s="13"/>
      <c r="M692" s="6"/>
      <c r="N692" s="7"/>
      <c r="O692" s="7"/>
      <c r="P692" s="2"/>
      <c r="Q692" s="2"/>
      <c r="R692" s="7"/>
      <c r="S692" s="13"/>
      <c r="T692" s="13"/>
      <c r="U692" s="8"/>
      <c r="V692" s="8"/>
      <c r="W692" s="8"/>
      <c r="X692" s="7"/>
      <c r="Y692" s="10"/>
      <c r="Z692" s="10"/>
      <c r="AA692" s="2"/>
      <c r="AB692" s="7"/>
      <c r="AC692" s="14"/>
      <c r="AD692" s="15"/>
      <c r="AE692" s="7"/>
      <c r="AG692" s="15"/>
      <c r="AJ692" s="2"/>
    </row>
    <row r="693" spans="1:36" s="12" customFormat="1" ht="14" customHeight="1" x14ac:dyDescent="0.2">
      <c r="A693" s="15"/>
      <c r="B693" s="10"/>
      <c r="C693" s="10"/>
      <c r="D693" s="13"/>
      <c r="E693" s="10"/>
      <c r="F693" s="10"/>
      <c r="G693" s="26"/>
      <c r="H693" s="10"/>
      <c r="I693" s="10"/>
      <c r="J693" s="10"/>
      <c r="K693" s="10"/>
      <c r="L693" s="13"/>
      <c r="M693" s="13"/>
      <c r="N693" s="9"/>
      <c r="O693" s="9"/>
      <c r="P693" s="2"/>
      <c r="Q693" s="2"/>
      <c r="R693" s="7"/>
      <c r="S693" s="13"/>
      <c r="T693" s="13"/>
      <c r="U693" s="8"/>
      <c r="V693" s="8"/>
      <c r="W693" s="8"/>
      <c r="X693" s="7"/>
      <c r="Y693" s="10"/>
      <c r="Z693" s="10"/>
      <c r="AA693" s="2"/>
      <c r="AB693" s="7"/>
      <c r="AC693" s="14"/>
      <c r="AD693" s="15"/>
      <c r="AE693" s="7"/>
      <c r="AG693" s="15"/>
      <c r="AJ693" s="2"/>
    </row>
    <row r="694" spans="1:36" s="12" customFormat="1" ht="14" customHeight="1" x14ac:dyDescent="0.2">
      <c r="A694" s="15"/>
      <c r="B694" s="10"/>
      <c r="C694" s="10"/>
      <c r="D694" s="6"/>
      <c r="E694" s="10"/>
      <c r="F694" s="10"/>
      <c r="G694" s="26"/>
      <c r="H694" s="10"/>
      <c r="I694" s="10"/>
      <c r="J694" s="10"/>
      <c r="K694" s="10"/>
      <c r="L694" s="13"/>
      <c r="M694" s="6"/>
      <c r="N694" s="7"/>
      <c r="O694" s="7"/>
      <c r="P694" s="2"/>
      <c r="Q694" s="2"/>
      <c r="R694" s="7"/>
      <c r="S694" s="13"/>
      <c r="T694" s="13"/>
      <c r="U694" s="8"/>
      <c r="V694" s="8"/>
      <c r="W694" s="8"/>
      <c r="X694" s="7"/>
      <c r="Y694" s="10"/>
      <c r="Z694" s="10"/>
      <c r="AA694" s="2"/>
      <c r="AB694" s="7"/>
      <c r="AC694" s="14"/>
      <c r="AD694" s="15"/>
      <c r="AE694" s="7"/>
      <c r="AG694" s="15"/>
      <c r="AJ694" s="2"/>
    </row>
    <row r="695" spans="1:36" s="12" customFormat="1" ht="14" customHeight="1" x14ac:dyDescent="0.2">
      <c r="A695" s="15"/>
      <c r="B695" s="10"/>
      <c r="C695" s="10"/>
      <c r="D695" s="13"/>
      <c r="E695" s="10"/>
      <c r="F695" s="10"/>
      <c r="G695" s="26"/>
      <c r="H695" s="10"/>
      <c r="I695" s="10"/>
      <c r="J695" s="10"/>
      <c r="K695" s="10"/>
      <c r="L695" s="6"/>
      <c r="M695" s="13"/>
      <c r="N695" s="9"/>
      <c r="O695" s="9"/>
      <c r="P695" s="2"/>
      <c r="Q695" s="2"/>
      <c r="R695" s="7"/>
      <c r="S695" s="13"/>
      <c r="T695" s="13"/>
      <c r="U695" s="8"/>
      <c r="V695" s="8"/>
      <c r="W695" s="8"/>
      <c r="X695" s="7"/>
      <c r="Y695" s="10"/>
      <c r="Z695" s="10"/>
      <c r="AA695" s="2"/>
      <c r="AB695" s="7"/>
      <c r="AC695" s="14"/>
      <c r="AD695" s="15"/>
      <c r="AE695" s="7"/>
      <c r="AG695" s="15"/>
      <c r="AJ695" s="2"/>
    </row>
    <row r="696" spans="1:36" s="12" customFormat="1" ht="14" customHeight="1" x14ac:dyDescent="0.2">
      <c r="A696" s="15"/>
      <c r="B696" s="10"/>
      <c r="C696" s="10"/>
      <c r="D696" s="13"/>
      <c r="E696" s="10"/>
      <c r="F696" s="10"/>
      <c r="G696" s="26"/>
      <c r="H696" s="10"/>
      <c r="I696" s="10"/>
      <c r="J696" s="10"/>
      <c r="K696" s="10"/>
      <c r="L696" s="13"/>
      <c r="M696" s="6"/>
      <c r="N696" s="7"/>
      <c r="O696" s="7"/>
      <c r="P696" s="2"/>
      <c r="Q696" s="2"/>
      <c r="R696" s="7"/>
      <c r="S696" s="13"/>
      <c r="T696" s="13"/>
      <c r="U696" s="8"/>
      <c r="V696" s="8"/>
      <c r="W696" s="8"/>
      <c r="X696" s="7"/>
      <c r="Y696" s="10"/>
      <c r="Z696" s="10"/>
      <c r="AA696" s="2"/>
      <c r="AB696" s="7"/>
      <c r="AC696" s="14"/>
      <c r="AD696" s="15"/>
      <c r="AE696" s="7"/>
      <c r="AG696" s="15"/>
      <c r="AJ696" s="2"/>
    </row>
    <row r="697" spans="1:36" s="12" customFormat="1" ht="14" customHeight="1" x14ac:dyDescent="0.2">
      <c r="A697" s="15"/>
      <c r="B697" s="10"/>
      <c r="C697" s="10"/>
      <c r="D697" s="13"/>
      <c r="E697" s="10"/>
      <c r="F697" s="10"/>
      <c r="G697" s="26"/>
      <c r="H697" s="10"/>
      <c r="I697" s="10"/>
      <c r="J697" s="10"/>
      <c r="K697" s="10"/>
      <c r="L697" s="13"/>
      <c r="M697" s="13"/>
      <c r="N697" s="9"/>
      <c r="O697" s="9"/>
      <c r="P697" s="2"/>
      <c r="Q697" s="2"/>
      <c r="R697" s="7"/>
      <c r="S697" s="13"/>
      <c r="T697" s="13"/>
      <c r="U697" s="8"/>
      <c r="V697" s="8"/>
      <c r="W697" s="8"/>
      <c r="X697" s="7"/>
      <c r="Y697" s="10"/>
      <c r="Z697" s="10"/>
      <c r="AA697" s="2"/>
      <c r="AB697" s="7"/>
      <c r="AC697" s="14"/>
      <c r="AD697" s="15"/>
      <c r="AE697" s="7"/>
      <c r="AG697" s="15"/>
      <c r="AJ697" s="2"/>
    </row>
    <row r="698" spans="1:36" s="12" customFormat="1" ht="14" customHeight="1" x14ac:dyDescent="0.2">
      <c r="A698" s="15"/>
      <c r="B698" s="10"/>
      <c r="C698" s="10"/>
      <c r="D698" s="13"/>
      <c r="E698" s="10"/>
      <c r="F698" s="10"/>
      <c r="G698" s="26"/>
      <c r="H698" s="10"/>
      <c r="I698" s="10"/>
      <c r="J698" s="10"/>
      <c r="K698" s="10"/>
      <c r="L698" s="13"/>
      <c r="M698" s="13"/>
      <c r="N698" s="9"/>
      <c r="O698" s="9"/>
      <c r="P698" s="2"/>
      <c r="Q698" s="2"/>
      <c r="R698" s="7"/>
      <c r="S698" s="13"/>
      <c r="T698" s="13"/>
      <c r="U698" s="8"/>
      <c r="V698" s="8"/>
      <c r="W698" s="8"/>
      <c r="X698" s="7"/>
      <c r="Y698" s="10"/>
      <c r="Z698" s="10"/>
      <c r="AA698" s="2"/>
      <c r="AB698" s="7"/>
      <c r="AC698" s="14"/>
      <c r="AD698" s="15"/>
      <c r="AE698" s="7"/>
      <c r="AG698" s="15"/>
      <c r="AJ698" s="2"/>
    </row>
    <row r="699" spans="1:36" s="12" customFormat="1" ht="14" customHeight="1" x14ac:dyDescent="0.2">
      <c r="A699" s="15"/>
      <c r="B699" s="10"/>
      <c r="C699" s="10"/>
      <c r="D699" s="13"/>
      <c r="E699" s="10"/>
      <c r="F699" s="10"/>
      <c r="G699" s="26"/>
      <c r="H699" s="10"/>
      <c r="I699" s="10"/>
      <c r="J699" s="10"/>
      <c r="K699" s="10"/>
      <c r="L699" s="13"/>
      <c r="M699" s="6"/>
      <c r="N699" s="7"/>
      <c r="O699" s="7"/>
      <c r="P699" s="2"/>
      <c r="Q699" s="2"/>
      <c r="R699" s="7"/>
      <c r="S699" s="13"/>
      <c r="T699" s="13"/>
      <c r="U699" s="8"/>
      <c r="V699" s="8"/>
      <c r="W699" s="8"/>
      <c r="X699" s="7"/>
      <c r="Y699" s="10"/>
      <c r="Z699" s="10"/>
      <c r="AA699" s="2"/>
      <c r="AB699" s="7"/>
      <c r="AC699" s="14"/>
      <c r="AD699" s="15"/>
      <c r="AE699" s="7"/>
      <c r="AG699" s="15"/>
      <c r="AJ699" s="2"/>
    </row>
    <row r="700" spans="1:36" s="12" customFormat="1" ht="14" customHeight="1" x14ac:dyDescent="0.2">
      <c r="A700" s="15"/>
      <c r="B700" s="10"/>
      <c r="C700" s="10"/>
      <c r="D700" s="13"/>
      <c r="E700" s="10"/>
      <c r="F700" s="10"/>
      <c r="G700" s="26"/>
      <c r="H700" s="10"/>
      <c r="I700" s="10"/>
      <c r="J700" s="10"/>
      <c r="K700" s="10"/>
      <c r="L700" s="13"/>
      <c r="M700" s="13"/>
      <c r="N700" s="9"/>
      <c r="O700" s="9"/>
      <c r="P700" s="2"/>
      <c r="Q700" s="2"/>
      <c r="R700" s="7"/>
      <c r="S700" s="13"/>
      <c r="T700" s="13"/>
      <c r="U700" s="8"/>
      <c r="V700" s="8"/>
      <c r="W700" s="8"/>
      <c r="X700" s="7"/>
      <c r="Y700" s="10"/>
      <c r="Z700" s="10"/>
      <c r="AA700" s="2"/>
      <c r="AB700" s="7"/>
      <c r="AC700" s="14"/>
      <c r="AD700" s="15"/>
      <c r="AE700" s="7"/>
      <c r="AG700" s="15"/>
      <c r="AJ700" s="2"/>
    </row>
    <row r="701" spans="1:36" s="12" customFormat="1" ht="14" customHeight="1" x14ac:dyDescent="0.2">
      <c r="A701" s="15"/>
      <c r="B701" s="10"/>
      <c r="C701" s="10"/>
      <c r="D701" s="13"/>
      <c r="E701" s="10"/>
      <c r="F701" s="10"/>
      <c r="G701" s="26"/>
      <c r="H701" s="10"/>
      <c r="I701" s="10"/>
      <c r="J701" s="10"/>
      <c r="K701" s="10"/>
      <c r="L701" s="6"/>
      <c r="M701" s="6"/>
      <c r="N701" s="7"/>
      <c r="O701" s="7"/>
      <c r="P701" s="2"/>
      <c r="Q701" s="2"/>
      <c r="R701" s="7"/>
      <c r="S701" s="13"/>
      <c r="T701" s="13"/>
      <c r="U701" s="8"/>
      <c r="V701" s="8"/>
      <c r="W701" s="8"/>
      <c r="X701" s="7"/>
      <c r="Y701" s="10"/>
      <c r="Z701" s="10"/>
      <c r="AA701" s="2"/>
      <c r="AB701" s="7"/>
      <c r="AC701" s="14"/>
      <c r="AD701" s="18"/>
      <c r="AE701" s="7"/>
      <c r="AG701" s="15"/>
      <c r="AJ701" s="2"/>
    </row>
    <row r="702" spans="1:36" s="12" customFormat="1" ht="14" customHeight="1" x14ac:dyDescent="0.2">
      <c r="A702" s="15"/>
      <c r="B702" s="10"/>
      <c r="C702" s="10"/>
      <c r="D702" s="13"/>
      <c r="E702" s="10"/>
      <c r="F702" s="10"/>
      <c r="G702" s="26"/>
      <c r="H702" s="10"/>
      <c r="I702" s="10"/>
      <c r="J702" s="10"/>
      <c r="K702" s="10"/>
      <c r="L702" s="13"/>
      <c r="M702" s="13"/>
      <c r="N702" s="9"/>
      <c r="O702" s="9"/>
      <c r="P702" s="2"/>
      <c r="Q702" s="2"/>
      <c r="R702" s="7"/>
      <c r="S702" s="13"/>
      <c r="T702" s="13"/>
      <c r="U702" s="8"/>
      <c r="V702" s="8"/>
      <c r="W702" s="8"/>
      <c r="X702" s="7"/>
      <c r="Y702" s="10"/>
      <c r="Z702" s="10"/>
      <c r="AA702" s="2"/>
      <c r="AB702" s="7"/>
      <c r="AC702" s="14"/>
      <c r="AD702" s="15"/>
      <c r="AE702" s="7"/>
      <c r="AG702" s="15"/>
      <c r="AJ702" s="2"/>
    </row>
    <row r="703" spans="1:36" s="12" customFormat="1" ht="14" customHeight="1" x14ac:dyDescent="0.2">
      <c r="B703" s="10"/>
      <c r="C703" s="10"/>
      <c r="D703" s="13"/>
      <c r="E703" s="10"/>
      <c r="F703" s="10"/>
      <c r="G703" s="26"/>
      <c r="H703" s="10"/>
      <c r="I703" s="10"/>
      <c r="J703" s="10"/>
      <c r="K703" s="7"/>
      <c r="L703" s="13"/>
      <c r="M703" s="6"/>
      <c r="N703" s="7"/>
      <c r="O703" s="7"/>
      <c r="P703" s="2"/>
      <c r="Q703" s="2"/>
      <c r="R703" s="7"/>
      <c r="S703" s="13"/>
      <c r="T703" s="13"/>
      <c r="U703" s="8"/>
      <c r="V703" s="8"/>
      <c r="W703" s="8"/>
      <c r="X703" s="7"/>
      <c r="Y703" s="10"/>
      <c r="Z703" s="10"/>
      <c r="AA703" s="2"/>
      <c r="AB703" s="7"/>
      <c r="AC703" s="14"/>
      <c r="AD703" s="15"/>
      <c r="AE703" s="7"/>
      <c r="AG703" s="15"/>
      <c r="AJ703" s="2"/>
    </row>
    <row r="704" spans="1:36" s="12" customFormat="1" ht="14" customHeight="1" x14ac:dyDescent="0.2">
      <c r="B704" s="10"/>
      <c r="C704" s="10"/>
      <c r="D704" s="6"/>
      <c r="E704" s="10"/>
      <c r="F704" s="10"/>
      <c r="G704" s="26"/>
      <c r="H704" s="10"/>
      <c r="I704" s="10"/>
      <c r="J704" s="10"/>
      <c r="K704" s="10"/>
      <c r="L704" s="13"/>
      <c r="M704" s="13"/>
      <c r="N704" s="9"/>
      <c r="O704" s="9"/>
      <c r="P704" s="2"/>
      <c r="Q704" s="2"/>
      <c r="R704" s="7"/>
      <c r="S704" s="13"/>
      <c r="T704" s="13"/>
      <c r="U704" s="8"/>
      <c r="V704" s="8"/>
      <c r="W704" s="8"/>
      <c r="X704" s="7"/>
      <c r="Y704" s="10"/>
      <c r="Z704" s="10"/>
      <c r="AA704" s="2"/>
      <c r="AB704" s="7"/>
      <c r="AC704" s="14"/>
      <c r="AE704" s="7"/>
      <c r="AG704" s="15"/>
      <c r="AJ704" s="2"/>
    </row>
    <row r="705" spans="1:36" s="12" customFormat="1" ht="14" customHeight="1" x14ac:dyDescent="0.2">
      <c r="A705" s="15"/>
      <c r="B705" s="10"/>
      <c r="C705" s="10"/>
      <c r="D705" s="13"/>
      <c r="E705" s="10"/>
      <c r="F705" s="10"/>
      <c r="G705" s="26"/>
      <c r="H705" s="10"/>
      <c r="I705" s="10"/>
      <c r="J705" s="10"/>
      <c r="K705" s="10"/>
      <c r="L705" s="13"/>
      <c r="M705" s="6"/>
      <c r="N705" s="7"/>
      <c r="O705" s="7"/>
      <c r="P705" s="2"/>
      <c r="Q705" s="2"/>
      <c r="R705" s="7"/>
      <c r="S705" s="13"/>
      <c r="T705" s="13"/>
      <c r="U705" s="8"/>
      <c r="V705" s="8"/>
      <c r="W705" s="8"/>
      <c r="X705" s="7"/>
      <c r="Y705" s="10"/>
      <c r="Z705" s="10"/>
      <c r="AA705" s="2"/>
      <c r="AB705" s="7"/>
      <c r="AC705" s="14"/>
      <c r="AD705" s="15"/>
      <c r="AE705" s="7"/>
      <c r="AG705" s="15"/>
      <c r="AJ705" s="2"/>
    </row>
    <row r="706" spans="1:36" s="12" customFormat="1" ht="14" customHeight="1" x14ac:dyDescent="0.2">
      <c r="B706" s="10"/>
      <c r="C706" s="10"/>
      <c r="D706" s="13"/>
      <c r="E706" s="10"/>
      <c r="F706" s="10"/>
      <c r="G706" s="26"/>
      <c r="H706" s="10"/>
      <c r="I706" s="10"/>
      <c r="J706" s="10"/>
      <c r="K706" s="7"/>
      <c r="L706" s="13"/>
      <c r="M706" s="6"/>
      <c r="N706" s="7"/>
      <c r="O706" s="7"/>
      <c r="P706" s="2"/>
      <c r="Q706" s="2"/>
      <c r="R706" s="7"/>
      <c r="S706" s="13"/>
      <c r="T706" s="13"/>
      <c r="U706" s="8"/>
      <c r="V706" s="8"/>
      <c r="W706" s="8"/>
      <c r="X706" s="7"/>
      <c r="Y706" s="10"/>
      <c r="Z706" s="10"/>
      <c r="AA706" s="2"/>
      <c r="AB706" s="7"/>
      <c r="AC706" s="14"/>
      <c r="AD706" s="15"/>
      <c r="AE706" s="7"/>
      <c r="AG706" s="15"/>
      <c r="AJ706" s="2"/>
    </row>
    <row r="707" spans="1:36" s="12" customFormat="1" ht="14" customHeight="1" x14ac:dyDescent="0.2">
      <c r="B707" s="10"/>
      <c r="C707" s="10"/>
      <c r="D707" s="13"/>
      <c r="E707" s="10"/>
      <c r="F707" s="10"/>
      <c r="G707" s="26"/>
      <c r="H707" s="10"/>
      <c r="I707" s="10"/>
      <c r="J707" s="10"/>
      <c r="K707" s="10"/>
      <c r="L707" s="13"/>
      <c r="M707" s="13"/>
      <c r="N707" s="9"/>
      <c r="O707" s="9"/>
      <c r="P707" s="2"/>
      <c r="Q707" s="2"/>
      <c r="R707" s="7"/>
      <c r="S707" s="13"/>
      <c r="T707" s="13"/>
      <c r="U707" s="8"/>
      <c r="V707" s="8"/>
      <c r="W707" s="8"/>
      <c r="X707" s="7"/>
      <c r="Y707" s="10"/>
      <c r="Z707" s="10"/>
      <c r="AA707" s="2"/>
      <c r="AB707" s="7"/>
      <c r="AC707" s="14"/>
      <c r="AD707" s="15"/>
      <c r="AE707" s="7"/>
      <c r="AG707" s="15"/>
      <c r="AJ707" s="2"/>
    </row>
    <row r="708" spans="1:36" s="12" customFormat="1" ht="14" customHeight="1" x14ac:dyDescent="0.2">
      <c r="B708" s="10"/>
      <c r="C708" s="10"/>
      <c r="D708" s="13"/>
      <c r="E708" s="10"/>
      <c r="F708" s="10"/>
      <c r="G708" s="26"/>
      <c r="H708" s="10"/>
      <c r="I708" s="10"/>
      <c r="J708" s="10"/>
      <c r="K708" s="7"/>
      <c r="L708" s="6"/>
      <c r="M708" s="13"/>
      <c r="N708" s="9"/>
      <c r="O708" s="9"/>
      <c r="P708" s="2"/>
      <c r="Q708" s="2"/>
      <c r="R708" s="7"/>
      <c r="S708" s="13"/>
      <c r="T708" s="13"/>
      <c r="U708" s="8"/>
      <c r="V708" s="8"/>
      <c r="W708" s="8"/>
      <c r="X708" s="7"/>
      <c r="Y708" s="10"/>
      <c r="Z708" s="10"/>
      <c r="AA708" s="2"/>
      <c r="AB708" s="7"/>
      <c r="AC708" s="14"/>
      <c r="AD708" s="15"/>
      <c r="AE708" s="7"/>
      <c r="AG708" s="15"/>
      <c r="AJ708" s="2"/>
    </row>
    <row r="709" spans="1:36" s="12" customFormat="1" ht="14" customHeight="1" x14ac:dyDescent="0.2">
      <c r="A709" s="15"/>
      <c r="B709" s="10"/>
      <c r="C709" s="10"/>
      <c r="D709" s="13"/>
      <c r="E709" s="10"/>
      <c r="F709" s="10"/>
      <c r="G709" s="26"/>
      <c r="H709" s="10"/>
      <c r="I709" s="10"/>
      <c r="J709" s="10"/>
      <c r="K709" s="7"/>
      <c r="L709" s="13"/>
      <c r="M709" s="13"/>
      <c r="N709" s="9"/>
      <c r="O709" s="9"/>
      <c r="P709" s="2"/>
      <c r="Q709" s="2"/>
      <c r="R709" s="7"/>
      <c r="S709" s="13"/>
      <c r="T709" s="13"/>
      <c r="U709" s="8"/>
      <c r="V709" s="8"/>
      <c r="W709" s="8"/>
      <c r="X709" s="7"/>
      <c r="Y709" s="10"/>
      <c r="Z709" s="10"/>
      <c r="AA709" s="2"/>
      <c r="AB709" s="7"/>
      <c r="AC709" s="14"/>
      <c r="AE709" s="7"/>
      <c r="AG709" s="15"/>
      <c r="AJ709" s="2"/>
    </row>
    <row r="710" spans="1:36" s="12" customFormat="1" ht="14" customHeight="1" x14ac:dyDescent="0.2">
      <c r="A710" s="15"/>
      <c r="B710" s="10"/>
      <c r="C710" s="10"/>
      <c r="D710" s="13"/>
      <c r="E710" s="10"/>
      <c r="F710" s="10"/>
      <c r="G710" s="26"/>
      <c r="H710" s="10"/>
      <c r="I710" s="10"/>
      <c r="J710" s="10"/>
      <c r="K710" s="9"/>
      <c r="L710" s="13"/>
      <c r="M710" s="6"/>
      <c r="N710" s="7"/>
      <c r="O710" s="7"/>
      <c r="P710" s="2"/>
      <c r="Q710" s="2"/>
      <c r="R710" s="7"/>
      <c r="S710" s="13"/>
      <c r="T710" s="13"/>
      <c r="U710" s="8"/>
      <c r="V710" s="8"/>
      <c r="W710" s="8"/>
      <c r="X710" s="7"/>
      <c r="Y710" s="10"/>
      <c r="Z710" s="10"/>
      <c r="AA710" s="2"/>
      <c r="AB710" s="7"/>
      <c r="AC710" s="14"/>
      <c r="AE710" s="7"/>
      <c r="AG710" s="15"/>
      <c r="AJ710" s="2"/>
    </row>
    <row r="711" spans="1:36" s="12" customFormat="1" ht="14" customHeight="1" x14ac:dyDescent="0.2">
      <c r="B711" s="10"/>
      <c r="C711" s="10"/>
      <c r="D711" s="13"/>
      <c r="E711" s="10"/>
      <c r="F711" s="10"/>
      <c r="G711" s="26"/>
      <c r="H711" s="10"/>
      <c r="I711" s="10"/>
      <c r="J711" s="10"/>
      <c r="K711" s="10"/>
      <c r="L711" s="6"/>
      <c r="M711" s="6"/>
      <c r="N711" s="7"/>
      <c r="O711" s="7"/>
      <c r="P711" s="2"/>
      <c r="Q711" s="2"/>
      <c r="R711" s="7"/>
      <c r="S711" s="13"/>
      <c r="T711" s="13"/>
      <c r="U711" s="8"/>
      <c r="V711" s="8"/>
      <c r="W711" s="8"/>
      <c r="X711" s="7"/>
      <c r="Y711" s="10"/>
      <c r="Z711" s="10"/>
      <c r="AA711" s="2"/>
      <c r="AB711" s="7"/>
      <c r="AC711" s="14"/>
      <c r="AD711" s="15"/>
      <c r="AE711" s="7"/>
      <c r="AG711" s="15"/>
      <c r="AJ711" s="2"/>
    </row>
    <row r="712" spans="1:36" s="12" customFormat="1" ht="14" customHeight="1" x14ac:dyDescent="0.2">
      <c r="A712" s="15"/>
      <c r="B712" s="10"/>
      <c r="C712" s="10"/>
      <c r="D712" s="13"/>
      <c r="E712" s="10"/>
      <c r="F712" s="10"/>
      <c r="G712" s="26"/>
      <c r="H712" s="10"/>
      <c r="I712" s="10"/>
      <c r="J712" s="10"/>
      <c r="K712" s="10"/>
      <c r="L712" s="13"/>
      <c r="M712" s="6"/>
      <c r="N712" s="7"/>
      <c r="O712" s="7"/>
      <c r="P712" s="2"/>
      <c r="Q712" s="2"/>
      <c r="R712" s="7"/>
      <c r="S712" s="13"/>
      <c r="T712" s="13"/>
      <c r="U712" s="8"/>
      <c r="V712" s="8"/>
      <c r="W712" s="8"/>
      <c r="X712" s="7"/>
      <c r="Y712" s="10"/>
      <c r="Z712" s="10"/>
      <c r="AA712" s="2"/>
      <c r="AB712" s="7"/>
      <c r="AC712" s="14"/>
      <c r="AD712" s="15"/>
      <c r="AE712" s="7"/>
      <c r="AG712" s="15"/>
      <c r="AJ712" s="2"/>
    </row>
    <row r="713" spans="1:36" s="12" customFormat="1" ht="14" customHeight="1" x14ac:dyDescent="0.2">
      <c r="A713" s="15"/>
      <c r="B713" s="10"/>
      <c r="C713" s="10"/>
      <c r="D713" s="13"/>
      <c r="E713" s="10"/>
      <c r="F713" s="10"/>
      <c r="G713" s="26"/>
      <c r="H713" s="10"/>
      <c r="I713" s="10"/>
      <c r="J713" s="10"/>
      <c r="K713" s="7"/>
      <c r="L713" s="6"/>
      <c r="M713" s="6"/>
      <c r="N713" s="7"/>
      <c r="O713" s="7"/>
      <c r="P713" s="2"/>
      <c r="Q713" s="2"/>
      <c r="R713" s="7"/>
      <c r="S713" s="13"/>
      <c r="T713" s="13"/>
      <c r="U713" s="8"/>
      <c r="V713" s="8"/>
      <c r="W713" s="8"/>
      <c r="X713" s="7"/>
      <c r="Y713" s="10"/>
      <c r="Z713" s="10"/>
      <c r="AA713" s="2"/>
      <c r="AB713" s="7"/>
      <c r="AC713" s="14"/>
      <c r="AE713" s="7"/>
      <c r="AG713" s="15"/>
      <c r="AJ713" s="2"/>
    </row>
    <row r="714" spans="1:36" s="12" customFormat="1" ht="14" customHeight="1" x14ac:dyDescent="0.2">
      <c r="A714" s="15"/>
      <c r="B714" s="10"/>
      <c r="C714" s="10"/>
      <c r="D714" s="13"/>
      <c r="E714" s="10"/>
      <c r="F714" s="10"/>
      <c r="G714" s="26"/>
      <c r="H714" s="10"/>
      <c r="I714" s="10"/>
      <c r="J714" s="10"/>
      <c r="K714" s="7"/>
      <c r="L714" s="13"/>
      <c r="M714" s="6"/>
      <c r="N714" s="7"/>
      <c r="O714" s="7"/>
      <c r="P714" s="2"/>
      <c r="Q714" s="2"/>
      <c r="R714" s="7"/>
      <c r="S714" s="13"/>
      <c r="T714" s="13"/>
      <c r="U714" s="8"/>
      <c r="V714" s="8"/>
      <c r="W714" s="8"/>
      <c r="X714" s="7"/>
      <c r="Y714" s="10"/>
      <c r="Z714" s="10"/>
      <c r="AA714" s="2"/>
      <c r="AB714" s="7"/>
      <c r="AC714" s="14"/>
      <c r="AE714" s="7"/>
      <c r="AG714" s="15"/>
      <c r="AJ714" s="2"/>
    </row>
    <row r="715" spans="1:36" s="12" customFormat="1" ht="14" customHeight="1" x14ac:dyDescent="0.2">
      <c r="A715" s="15"/>
      <c r="B715" s="10"/>
      <c r="C715" s="10"/>
      <c r="D715" s="13"/>
      <c r="E715" s="10"/>
      <c r="F715" s="10"/>
      <c r="G715" s="26"/>
      <c r="H715" s="10"/>
      <c r="I715" s="10"/>
      <c r="J715" s="10"/>
      <c r="K715" s="10"/>
      <c r="L715" s="13"/>
      <c r="M715" s="13"/>
      <c r="N715" s="9"/>
      <c r="O715" s="9"/>
      <c r="P715" s="2"/>
      <c r="Q715" s="2"/>
      <c r="R715" s="7"/>
      <c r="S715" s="13"/>
      <c r="T715" s="13"/>
      <c r="U715" s="8"/>
      <c r="V715" s="8"/>
      <c r="W715" s="8"/>
      <c r="X715" s="7"/>
      <c r="Y715" s="10"/>
      <c r="Z715" s="10"/>
      <c r="AA715" s="2"/>
      <c r="AB715" s="7"/>
      <c r="AC715" s="14"/>
      <c r="AD715" s="15"/>
      <c r="AE715" s="7"/>
      <c r="AG715" s="15"/>
      <c r="AJ715" s="2"/>
    </row>
    <row r="716" spans="1:36" s="12" customFormat="1" ht="14" customHeight="1" x14ac:dyDescent="0.2">
      <c r="B716" s="10"/>
      <c r="C716" s="10"/>
      <c r="D716" s="13"/>
      <c r="E716" s="10"/>
      <c r="F716" s="10"/>
      <c r="G716" s="26"/>
      <c r="H716" s="10"/>
      <c r="I716" s="10"/>
      <c r="J716" s="10"/>
      <c r="K716" s="10"/>
      <c r="L716" s="13"/>
      <c r="M716" s="6"/>
      <c r="N716" s="7"/>
      <c r="O716" s="7"/>
      <c r="P716" s="2"/>
      <c r="Q716" s="2"/>
      <c r="R716" s="7"/>
      <c r="S716" s="13"/>
      <c r="T716" s="13"/>
      <c r="U716" s="8"/>
      <c r="V716" s="8"/>
      <c r="W716" s="8"/>
      <c r="X716" s="7"/>
      <c r="Y716" s="10"/>
      <c r="Z716" s="10"/>
      <c r="AA716" s="2"/>
      <c r="AB716" s="7"/>
      <c r="AC716" s="14"/>
      <c r="AD716" s="15"/>
      <c r="AE716" s="7"/>
      <c r="AG716" s="15"/>
      <c r="AJ716" s="2"/>
    </row>
    <row r="717" spans="1:36" s="12" customFormat="1" ht="14" customHeight="1" x14ac:dyDescent="0.2">
      <c r="A717" s="15"/>
      <c r="B717" s="10"/>
      <c r="C717" s="10"/>
      <c r="D717" s="13"/>
      <c r="E717" s="10"/>
      <c r="F717" s="10"/>
      <c r="G717" s="26"/>
      <c r="H717" s="10"/>
      <c r="I717" s="10"/>
      <c r="J717" s="10"/>
      <c r="K717" s="10"/>
      <c r="L717" s="13"/>
      <c r="M717" s="6"/>
      <c r="N717" s="7"/>
      <c r="O717" s="7"/>
      <c r="P717" s="2"/>
      <c r="Q717" s="2"/>
      <c r="R717" s="7"/>
      <c r="S717" s="13"/>
      <c r="T717" s="13"/>
      <c r="U717" s="8"/>
      <c r="V717" s="8"/>
      <c r="W717" s="8"/>
      <c r="X717" s="7"/>
      <c r="Y717" s="10"/>
      <c r="Z717" s="10"/>
      <c r="AA717" s="2"/>
      <c r="AB717" s="7"/>
      <c r="AC717" s="14"/>
      <c r="AD717" s="15"/>
      <c r="AE717" s="7"/>
      <c r="AG717" s="15"/>
      <c r="AJ717" s="2"/>
    </row>
    <row r="718" spans="1:36" s="12" customFormat="1" ht="14" customHeight="1" x14ac:dyDescent="0.2">
      <c r="A718" s="15"/>
      <c r="B718" s="10"/>
      <c r="C718" s="10"/>
      <c r="D718" s="6"/>
      <c r="E718" s="10"/>
      <c r="F718" s="10"/>
      <c r="G718" s="26"/>
      <c r="H718" s="10"/>
      <c r="I718" s="10"/>
      <c r="J718" s="10"/>
      <c r="K718" s="10"/>
      <c r="L718" s="13"/>
      <c r="M718" s="13"/>
      <c r="N718" s="9"/>
      <c r="O718" s="9"/>
      <c r="P718" s="2"/>
      <c r="Q718" s="2"/>
      <c r="R718" s="7"/>
      <c r="S718" s="13"/>
      <c r="T718" s="13"/>
      <c r="U718" s="8"/>
      <c r="V718" s="8"/>
      <c r="W718" s="8"/>
      <c r="X718" s="7"/>
      <c r="Y718" s="10"/>
      <c r="Z718" s="10"/>
      <c r="AA718" s="2"/>
      <c r="AB718" s="7"/>
      <c r="AC718" s="14"/>
      <c r="AD718" s="18"/>
      <c r="AE718" s="7"/>
      <c r="AG718" s="15"/>
      <c r="AJ718" s="2"/>
    </row>
    <row r="719" spans="1:36" s="12" customFormat="1" ht="14" customHeight="1" x14ac:dyDescent="0.2">
      <c r="A719" s="15"/>
      <c r="B719" s="10"/>
      <c r="C719" s="10"/>
      <c r="D719" s="13"/>
      <c r="E719" s="10"/>
      <c r="F719" s="10"/>
      <c r="G719" s="26"/>
      <c r="H719" s="10"/>
      <c r="I719" s="10"/>
      <c r="J719" s="10"/>
      <c r="K719" s="9"/>
      <c r="L719" s="6"/>
      <c r="M719" s="6"/>
      <c r="N719" s="7"/>
      <c r="O719" s="7"/>
      <c r="P719" s="2"/>
      <c r="Q719" s="2"/>
      <c r="R719" s="7"/>
      <c r="S719" s="13"/>
      <c r="T719" s="13"/>
      <c r="U719" s="8"/>
      <c r="V719" s="8"/>
      <c r="W719" s="8"/>
      <c r="X719" s="7"/>
      <c r="Y719" s="10"/>
      <c r="Z719" s="10"/>
      <c r="AA719" s="2"/>
      <c r="AB719" s="7"/>
      <c r="AC719" s="14"/>
      <c r="AE719" s="7"/>
      <c r="AG719" s="15"/>
      <c r="AJ719" s="2"/>
    </row>
    <row r="720" spans="1:36" s="12" customFormat="1" ht="14" customHeight="1" x14ac:dyDescent="0.2">
      <c r="A720" s="15"/>
      <c r="B720" s="10"/>
      <c r="C720" s="10"/>
      <c r="D720" s="13"/>
      <c r="E720" s="10"/>
      <c r="F720" s="10"/>
      <c r="G720" s="26"/>
      <c r="H720" s="10"/>
      <c r="I720" s="10"/>
      <c r="J720" s="10"/>
      <c r="K720" s="7"/>
      <c r="L720" s="13"/>
      <c r="M720" s="6"/>
      <c r="N720" s="7"/>
      <c r="O720" s="7"/>
      <c r="P720" s="2"/>
      <c r="Q720" s="2"/>
      <c r="R720" s="7"/>
      <c r="S720" s="13"/>
      <c r="T720" s="13"/>
      <c r="U720" s="8"/>
      <c r="V720" s="8"/>
      <c r="W720" s="8"/>
      <c r="X720" s="7"/>
      <c r="Y720" s="10"/>
      <c r="Z720" s="10"/>
      <c r="AA720" s="2"/>
      <c r="AB720" s="7"/>
      <c r="AC720" s="14"/>
      <c r="AE720" s="7"/>
      <c r="AG720" s="15"/>
      <c r="AJ720" s="2"/>
    </row>
    <row r="721" spans="1:36" s="12" customFormat="1" ht="14" customHeight="1" x14ac:dyDescent="0.2">
      <c r="B721" s="10"/>
      <c r="C721" s="10"/>
      <c r="D721" s="13"/>
      <c r="E721" s="10"/>
      <c r="F721" s="10"/>
      <c r="G721" s="26"/>
      <c r="H721" s="10"/>
      <c r="I721" s="10"/>
      <c r="J721" s="10"/>
      <c r="K721" s="10"/>
      <c r="L721" s="13"/>
      <c r="M721" s="13"/>
      <c r="N721" s="9"/>
      <c r="O721" s="9"/>
      <c r="P721" s="2"/>
      <c r="Q721" s="2"/>
      <c r="R721" s="7"/>
      <c r="S721" s="13"/>
      <c r="T721" s="13"/>
      <c r="U721" s="8"/>
      <c r="V721" s="8"/>
      <c r="W721" s="8"/>
      <c r="X721" s="7"/>
      <c r="Y721" s="10"/>
      <c r="Z721" s="10"/>
      <c r="AA721" s="2"/>
      <c r="AB721" s="7"/>
      <c r="AC721" s="14"/>
      <c r="AD721" s="15"/>
      <c r="AE721" s="7"/>
      <c r="AG721" s="15"/>
      <c r="AJ721" s="2"/>
    </row>
    <row r="722" spans="1:36" s="12" customFormat="1" ht="14" customHeight="1" x14ac:dyDescent="0.2">
      <c r="B722" s="10"/>
      <c r="C722" s="10"/>
      <c r="D722" s="13"/>
      <c r="E722" s="10"/>
      <c r="F722" s="10"/>
      <c r="G722" s="26"/>
      <c r="H722" s="10"/>
      <c r="I722" s="10"/>
      <c r="J722" s="10"/>
      <c r="K722" s="10"/>
      <c r="L722" s="6"/>
      <c r="M722" s="6"/>
      <c r="N722" s="7"/>
      <c r="O722" s="7"/>
      <c r="P722" s="2"/>
      <c r="Q722" s="2"/>
      <c r="R722" s="7"/>
      <c r="S722" s="13"/>
      <c r="T722" s="13"/>
      <c r="U722" s="8"/>
      <c r="V722" s="8"/>
      <c r="W722" s="8"/>
      <c r="X722" s="7"/>
      <c r="Y722" s="10"/>
      <c r="Z722" s="10"/>
      <c r="AA722" s="2"/>
      <c r="AB722" s="7"/>
      <c r="AC722" s="14"/>
      <c r="AD722" s="18"/>
      <c r="AE722" s="7"/>
      <c r="AG722" s="15"/>
      <c r="AJ722" s="2"/>
    </row>
    <row r="723" spans="1:36" s="12" customFormat="1" ht="14" customHeight="1" x14ac:dyDescent="0.2">
      <c r="B723" s="10"/>
      <c r="C723" s="10"/>
      <c r="D723" s="13"/>
      <c r="E723" s="10"/>
      <c r="F723" s="10"/>
      <c r="G723" s="26"/>
      <c r="H723" s="10"/>
      <c r="I723" s="10"/>
      <c r="J723" s="10"/>
      <c r="K723" s="10"/>
      <c r="L723" s="13"/>
      <c r="M723" s="6"/>
      <c r="N723" s="7"/>
      <c r="O723" s="7"/>
      <c r="P723" s="2"/>
      <c r="Q723" s="2"/>
      <c r="R723" s="7"/>
      <c r="S723" s="13"/>
      <c r="T723" s="13"/>
      <c r="U723" s="8"/>
      <c r="V723" s="8"/>
      <c r="W723" s="8"/>
      <c r="X723" s="7"/>
      <c r="Y723" s="10"/>
      <c r="Z723" s="10"/>
      <c r="AA723" s="2"/>
      <c r="AB723" s="7"/>
      <c r="AC723" s="14"/>
      <c r="AD723" s="15"/>
      <c r="AE723" s="7"/>
      <c r="AG723" s="15"/>
      <c r="AJ723" s="2"/>
    </row>
    <row r="724" spans="1:36" s="12" customFormat="1" ht="14" customHeight="1" x14ac:dyDescent="0.2">
      <c r="B724" s="10"/>
      <c r="C724" s="10"/>
      <c r="D724" s="13"/>
      <c r="E724" s="10"/>
      <c r="F724" s="10"/>
      <c r="G724" s="26"/>
      <c r="H724" s="10"/>
      <c r="I724" s="10"/>
      <c r="J724" s="10"/>
      <c r="K724" s="10"/>
      <c r="L724" s="13"/>
      <c r="M724" s="6"/>
      <c r="N724" s="7"/>
      <c r="O724" s="7"/>
      <c r="P724" s="2"/>
      <c r="Q724" s="2"/>
      <c r="R724" s="7"/>
      <c r="S724" s="13"/>
      <c r="T724" s="13"/>
      <c r="U724" s="8"/>
      <c r="V724" s="8"/>
      <c r="W724" s="8"/>
      <c r="X724" s="7"/>
      <c r="Y724" s="10"/>
      <c r="Z724" s="10"/>
      <c r="AA724" s="2"/>
      <c r="AB724" s="7"/>
      <c r="AC724" s="14"/>
      <c r="AD724" s="15"/>
      <c r="AE724" s="7"/>
      <c r="AG724" s="15"/>
      <c r="AJ724" s="2"/>
    </row>
    <row r="725" spans="1:36" s="12" customFormat="1" ht="14" customHeight="1" x14ac:dyDescent="0.2">
      <c r="B725" s="10"/>
      <c r="C725" s="10"/>
      <c r="D725" s="13"/>
      <c r="E725" s="10"/>
      <c r="F725" s="10"/>
      <c r="G725" s="26"/>
      <c r="H725" s="10"/>
      <c r="I725" s="10"/>
      <c r="J725" s="10"/>
      <c r="K725" s="10"/>
      <c r="L725" s="13"/>
      <c r="M725" s="6"/>
      <c r="N725" s="7"/>
      <c r="O725" s="7"/>
      <c r="P725" s="2"/>
      <c r="Q725" s="2"/>
      <c r="R725" s="7"/>
      <c r="S725" s="13"/>
      <c r="T725" s="13"/>
      <c r="U725" s="8"/>
      <c r="V725" s="8"/>
      <c r="W725" s="8"/>
      <c r="X725" s="7"/>
      <c r="Y725" s="10"/>
      <c r="Z725" s="10"/>
      <c r="AA725" s="2"/>
      <c r="AB725" s="7"/>
      <c r="AC725" s="14"/>
      <c r="AD725" s="15"/>
      <c r="AE725" s="7"/>
      <c r="AG725" s="15"/>
      <c r="AJ725" s="2"/>
    </row>
    <row r="726" spans="1:36" s="12" customFormat="1" ht="14" customHeight="1" x14ac:dyDescent="0.2">
      <c r="B726" s="10"/>
      <c r="C726" s="10"/>
      <c r="D726" s="13"/>
      <c r="E726" s="10"/>
      <c r="F726" s="10"/>
      <c r="G726" s="26"/>
      <c r="H726" s="10"/>
      <c r="I726" s="10"/>
      <c r="J726" s="10"/>
      <c r="K726" s="10"/>
      <c r="L726" s="13"/>
      <c r="M726" s="6"/>
      <c r="N726" s="7"/>
      <c r="O726" s="7"/>
      <c r="P726" s="2"/>
      <c r="Q726" s="2"/>
      <c r="R726" s="7"/>
      <c r="S726" s="13"/>
      <c r="T726" s="13"/>
      <c r="U726" s="8"/>
      <c r="V726" s="8"/>
      <c r="W726" s="8"/>
      <c r="X726" s="7"/>
      <c r="Y726" s="10"/>
      <c r="Z726" s="10"/>
      <c r="AA726" s="2"/>
      <c r="AB726" s="7"/>
      <c r="AC726" s="14"/>
      <c r="AD726" s="15"/>
      <c r="AE726" s="7"/>
      <c r="AG726" s="15"/>
      <c r="AJ726" s="2"/>
    </row>
    <row r="727" spans="1:36" s="12" customFormat="1" ht="14" customHeight="1" x14ac:dyDescent="0.2">
      <c r="A727" s="15"/>
      <c r="B727" s="10"/>
      <c r="C727" s="10"/>
      <c r="D727" s="13"/>
      <c r="E727" s="10"/>
      <c r="F727" s="10"/>
      <c r="G727" s="26"/>
      <c r="H727" s="10"/>
      <c r="I727" s="10"/>
      <c r="J727" s="10"/>
      <c r="K727" s="10"/>
      <c r="L727" s="13"/>
      <c r="M727" s="6"/>
      <c r="N727" s="7"/>
      <c r="O727" s="7"/>
      <c r="P727" s="2"/>
      <c r="Q727" s="2"/>
      <c r="R727" s="7"/>
      <c r="S727" s="13"/>
      <c r="T727" s="13"/>
      <c r="U727" s="8"/>
      <c r="V727" s="8"/>
      <c r="W727" s="8"/>
      <c r="X727" s="7"/>
      <c r="Y727" s="10"/>
      <c r="Z727" s="10"/>
      <c r="AA727" s="2"/>
      <c r="AB727" s="7"/>
      <c r="AC727" s="14"/>
      <c r="AD727" s="15"/>
      <c r="AE727" s="7"/>
      <c r="AG727" s="15"/>
      <c r="AJ727" s="2"/>
    </row>
    <row r="728" spans="1:36" s="12" customFormat="1" ht="14" customHeight="1" x14ac:dyDescent="0.2">
      <c r="B728" s="10"/>
      <c r="C728" s="10"/>
      <c r="D728" s="13"/>
      <c r="E728" s="10"/>
      <c r="F728" s="10"/>
      <c r="G728" s="26"/>
      <c r="H728" s="10"/>
      <c r="I728" s="10"/>
      <c r="J728" s="10"/>
      <c r="K728" s="10"/>
      <c r="L728" s="13"/>
      <c r="M728" s="6"/>
      <c r="N728" s="7"/>
      <c r="O728" s="7"/>
      <c r="P728" s="2"/>
      <c r="Q728" s="2"/>
      <c r="R728" s="7"/>
      <c r="S728" s="13"/>
      <c r="T728" s="13"/>
      <c r="U728" s="8"/>
      <c r="V728" s="8"/>
      <c r="W728" s="8"/>
      <c r="X728" s="7"/>
      <c r="Y728" s="10"/>
      <c r="Z728" s="10"/>
      <c r="AA728" s="2"/>
      <c r="AB728" s="7"/>
      <c r="AC728" s="14"/>
      <c r="AD728" s="15"/>
      <c r="AE728" s="7"/>
      <c r="AG728" s="15"/>
      <c r="AJ728" s="2"/>
    </row>
    <row r="729" spans="1:36" s="12" customFormat="1" ht="14" customHeight="1" x14ac:dyDescent="0.2">
      <c r="B729" s="10"/>
      <c r="C729" s="10"/>
      <c r="D729" s="13"/>
      <c r="E729" s="10"/>
      <c r="F729" s="10"/>
      <c r="G729" s="26"/>
      <c r="H729" s="10"/>
      <c r="I729" s="10"/>
      <c r="J729" s="10"/>
      <c r="K729" s="10"/>
      <c r="L729" s="6"/>
      <c r="M729" s="6"/>
      <c r="N729" s="7"/>
      <c r="O729" s="7"/>
      <c r="P729" s="2"/>
      <c r="Q729" s="2"/>
      <c r="R729" s="7"/>
      <c r="S729" s="13"/>
      <c r="T729" s="13"/>
      <c r="U729" s="8"/>
      <c r="V729" s="8"/>
      <c r="W729" s="8"/>
      <c r="X729" s="7"/>
      <c r="Y729" s="10"/>
      <c r="Z729" s="10"/>
      <c r="AA729" s="2"/>
      <c r="AB729" s="7"/>
      <c r="AC729" s="14"/>
      <c r="AE729" s="7"/>
      <c r="AG729" s="15"/>
      <c r="AJ729" s="2"/>
    </row>
    <row r="730" spans="1:36" s="12" customFormat="1" ht="14" customHeight="1" x14ac:dyDescent="0.2">
      <c r="B730" s="10"/>
      <c r="C730" s="10"/>
      <c r="D730" s="13"/>
      <c r="E730" s="10"/>
      <c r="F730" s="10"/>
      <c r="G730" s="26"/>
      <c r="H730" s="10"/>
      <c r="I730" s="10"/>
      <c r="J730" s="10"/>
      <c r="K730" s="10"/>
      <c r="L730" s="13"/>
      <c r="M730" s="6"/>
      <c r="N730" s="7"/>
      <c r="O730" s="7"/>
      <c r="P730" s="2"/>
      <c r="Q730" s="2"/>
      <c r="R730" s="7"/>
      <c r="S730" s="13"/>
      <c r="T730" s="13"/>
      <c r="U730" s="8"/>
      <c r="V730" s="8"/>
      <c r="W730" s="8"/>
      <c r="X730" s="7"/>
      <c r="Y730" s="10"/>
      <c r="Z730" s="10"/>
      <c r="AA730" s="2"/>
      <c r="AB730" s="7"/>
      <c r="AC730" s="14"/>
      <c r="AD730" s="15"/>
      <c r="AE730" s="7"/>
      <c r="AG730" s="15"/>
      <c r="AJ730" s="2"/>
    </row>
    <row r="731" spans="1:36" s="12" customFormat="1" ht="14" customHeight="1" x14ac:dyDescent="0.2">
      <c r="B731" s="10"/>
      <c r="C731" s="10"/>
      <c r="D731" s="13"/>
      <c r="E731" s="10"/>
      <c r="F731" s="10"/>
      <c r="G731" s="26"/>
      <c r="H731" s="10"/>
      <c r="I731" s="10"/>
      <c r="J731" s="10"/>
      <c r="K731" s="10"/>
      <c r="L731" s="13"/>
      <c r="M731" s="13"/>
      <c r="N731" s="9"/>
      <c r="O731" s="9"/>
      <c r="P731" s="2"/>
      <c r="Q731" s="2"/>
      <c r="R731" s="7"/>
      <c r="S731" s="13"/>
      <c r="T731" s="13"/>
      <c r="U731" s="8"/>
      <c r="V731" s="8"/>
      <c r="W731" s="8"/>
      <c r="X731" s="7"/>
      <c r="Y731" s="10"/>
      <c r="Z731" s="10"/>
      <c r="AA731" s="2"/>
      <c r="AB731" s="7"/>
      <c r="AC731" s="14"/>
      <c r="AE731" s="7"/>
      <c r="AG731" s="15"/>
      <c r="AJ731" s="2"/>
    </row>
    <row r="732" spans="1:36" s="12" customFormat="1" ht="14" customHeight="1" x14ac:dyDescent="0.2">
      <c r="B732" s="10"/>
      <c r="C732" s="10"/>
      <c r="D732" s="13"/>
      <c r="E732" s="10"/>
      <c r="F732" s="10"/>
      <c r="G732" s="26"/>
      <c r="H732" s="10"/>
      <c r="I732" s="10"/>
      <c r="J732" s="10"/>
      <c r="K732" s="10"/>
      <c r="L732" s="13"/>
      <c r="M732" s="6"/>
      <c r="N732" s="7"/>
      <c r="O732" s="7"/>
      <c r="P732" s="2"/>
      <c r="Q732" s="2"/>
      <c r="R732" s="7"/>
      <c r="S732" s="13"/>
      <c r="T732" s="13"/>
      <c r="U732" s="8"/>
      <c r="V732" s="8"/>
      <c r="W732" s="8"/>
      <c r="X732" s="7"/>
      <c r="Y732" s="10"/>
      <c r="Z732" s="10"/>
      <c r="AA732" s="2"/>
      <c r="AB732" s="7"/>
      <c r="AC732" s="14"/>
      <c r="AD732" s="15"/>
      <c r="AE732" s="7"/>
      <c r="AG732" s="15"/>
      <c r="AJ732" s="2"/>
    </row>
    <row r="733" spans="1:36" s="12" customFormat="1" ht="14" customHeight="1" x14ac:dyDescent="0.2">
      <c r="A733" s="15"/>
      <c r="B733" s="10"/>
      <c r="C733" s="10"/>
      <c r="D733" s="13"/>
      <c r="E733" s="10"/>
      <c r="F733" s="10"/>
      <c r="G733" s="26"/>
      <c r="H733" s="10"/>
      <c r="I733" s="10"/>
      <c r="J733" s="10"/>
      <c r="K733" s="7"/>
      <c r="L733" s="6"/>
      <c r="M733" s="6"/>
      <c r="N733" s="7"/>
      <c r="O733" s="7"/>
      <c r="P733" s="2"/>
      <c r="Q733" s="2"/>
      <c r="R733" s="7"/>
      <c r="S733" s="13"/>
      <c r="T733" s="13"/>
      <c r="U733" s="8"/>
      <c r="V733" s="8"/>
      <c r="W733" s="8"/>
      <c r="X733" s="7"/>
      <c r="Y733" s="10"/>
      <c r="Z733" s="10"/>
      <c r="AA733" s="2"/>
      <c r="AB733" s="7"/>
      <c r="AC733" s="14"/>
      <c r="AE733" s="7"/>
      <c r="AG733" s="15"/>
      <c r="AJ733" s="2"/>
    </row>
    <row r="734" spans="1:36" s="12" customFormat="1" ht="14" customHeight="1" x14ac:dyDescent="0.2">
      <c r="B734" s="10"/>
      <c r="C734" s="10"/>
      <c r="D734" s="13"/>
      <c r="E734" s="10"/>
      <c r="F734" s="10"/>
      <c r="G734" s="26"/>
      <c r="H734" s="10"/>
      <c r="I734" s="10"/>
      <c r="J734" s="10"/>
      <c r="K734" s="10"/>
      <c r="L734" s="13"/>
      <c r="M734" s="6"/>
      <c r="N734" s="7"/>
      <c r="O734" s="7"/>
      <c r="P734" s="2"/>
      <c r="Q734" s="2"/>
      <c r="R734" s="7"/>
      <c r="S734" s="13"/>
      <c r="T734" s="13"/>
      <c r="U734" s="8"/>
      <c r="V734" s="8"/>
      <c r="W734" s="8"/>
      <c r="X734" s="7"/>
      <c r="Y734" s="10"/>
      <c r="Z734" s="10"/>
      <c r="AA734" s="2"/>
      <c r="AB734" s="7"/>
      <c r="AC734" s="14"/>
      <c r="AD734" s="15"/>
      <c r="AE734" s="7"/>
      <c r="AG734" s="15"/>
      <c r="AJ734" s="2"/>
    </row>
    <row r="735" spans="1:36" s="12" customFormat="1" ht="14" customHeight="1" x14ac:dyDescent="0.2">
      <c r="A735" s="15"/>
      <c r="B735" s="10"/>
      <c r="C735" s="10"/>
      <c r="D735" s="13"/>
      <c r="E735" s="10"/>
      <c r="F735" s="10"/>
      <c r="G735" s="26"/>
      <c r="H735" s="10"/>
      <c r="I735" s="10"/>
      <c r="J735" s="10"/>
      <c r="K735" s="10"/>
      <c r="L735" s="6"/>
      <c r="M735" s="6"/>
      <c r="N735" s="7"/>
      <c r="O735" s="7"/>
      <c r="P735" s="2"/>
      <c r="Q735" s="2"/>
      <c r="R735" s="7"/>
      <c r="S735" s="13"/>
      <c r="T735" s="13"/>
      <c r="U735" s="8"/>
      <c r="V735" s="8"/>
      <c r="W735" s="8"/>
      <c r="X735" s="7"/>
      <c r="Y735" s="10"/>
      <c r="Z735" s="10"/>
      <c r="AA735" s="2"/>
      <c r="AB735" s="7"/>
      <c r="AC735" s="14"/>
      <c r="AD735" s="15"/>
      <c r="AE735" s="7"/>
      <c r="AG735" s="15"/>
      <c r="AJ735" s="2"/>
    </row>
    <row r="736" spans="1:36" s="12" customFormat="1" ht="14" customHeight="1" x14ac:dyDescent="0.2">
      <c r="A736" s="15"/>
      <c r="B736" s="10"/>
      <c r="C736" s="10"/>
      <c r="D736" s="13"/>
      <c r="E736" s="10"/>
      <c r="F736" s="10"/>
      <c r="G736" s="26"/>
      <c r="H736" s="10"/>
      <c r="I736" s="10"/>
      <c r="J736" s="10"/>
      <c r="K736" s="10"/>
      <c r="L736" s="13"/>
      <c r="M736" s="6"/>
      <c r="N736" s="7"/>
      <c r="O736" s="7"/>
      <c r="P736" s="2"/>
      <c r="Q736" s="2"/>
      <c r="R736" s="7"/>
      <c r="S736" s="13"/>
      <c r="T736" s="13"/>
      <c r="U736" s="8"/>
      <c r="V736" s="8"/>
      <c r="W736" s="8"/>
      <c r="X736" s="7"/>
      <c r="Y736" s="10"/>
      <c r="Z736" s="10"/>
      <c r="AA736" s="2"/>
      <c r="AB736" s="7"/>
      <c r="AC736" s="14"/>
      <c r="AD736" s="15"/>
      <c r="AE736" s="7"/>
      <c r="AG736" s="15"/>
      <c r="AJ736" s="2"/>
    </row>
    <row r="737" spans="1:36" s="12" customFormat="1" ht="14" customHeight="1" x14ac:dyDescent="0.2">
      <c r="B737" s="10"/>
      <c r="C737" s="10"/>
      <c r="D737" s="13"/>
      <c r="E737" s="10"/>
      <c r="F737" s="10"/>
      <c r="G737" s="26"/>
      <c r="H737" s="10"/>
      <c r="I737" s="10"/>
      <c r="J737" s="10"/>
      <c r="K737" s="10"/>
      <c r="L737" s="13"/>
      <c r="M737" s="6"/>
      <c r="N737" s="7"/>
      <c r="O737" s="7"/>
      <c r="P737" s="2"/>
      <c r="Q737" s="2"/>
      <c r="R737" s="7"/>
      <c r="S737" s="13"/>
      <c r="T737" s="13"/>
      <c r="U737" s="8"/>
      <c r="V737" s="8"/>
      <c r="W737" s="8"/>
      <c r="X737" s="7"/>
      <c r="Y737" s="10"/>
      <c r="Z737" s="10"/>
      <c r="AA737" s="2"/>
      <c r="AB737" s="7"/>
      <c r="AC737" s="14"/>
      <c r="AE737" s="7"/>
      <c r="AG737" s="15"/>
      <c r="AJ737" s="2"/>
    </row>
    <row r="738" spans="1:36" s="12" customFormat="1" ht="14" customHeight="1" x14ac:dyDescent="0.2">
      <c r="B738" s="10"/>
      <c r="C738" s="10"/>
      <c r="D738" s="13"/>
      <c r="E738" s="10"/>
      <c r="F738" s="10"/>
      <c r="G738" s="26"/>
      <c r="H738" s="10"/>
      <c r="I738" s="10"/>
      <c r="J738" s="10"/>
      <c r="K738" s="10"/>
      <c r="L738" s="13"/>
      <c r="M738" s="13"/>
      <c r="N738" s="9"/>
      <c r="O738" s="9"/>
      <c r="P738" s="2"/>
      <c r="Q738" s="2"/>
      <c r="R738" s="7"/>
      <c r="S738" s="13"/>
      <c r="T738" s="13"/>
      <c r="U738" s="8"/>
      <c r="V738" s="8"/>
      <c r="W738" s="8"/>
      <c r="X738" s="7"/>
      <c r="Y738" s="10"/>
      <c r="Z738" s="10"/>
      <c r="AA738" s="2"/>
      <c r="AB738" s="7"/>
      <c r="AC738" s="14"/>
      <c r="AD738" s="15"/>
      <c r="AE738" s="7"/>
      <c r="AG738" s="15"/>
      <c r="AJ738" s="2"/>
    </row>
    <row r="739" spans="1:36" s="12" customFormat="1" ht="13" x14ac:dyDescent="0.2">
      <c r="A739" s="15"/>
      <c r="B739" s="7"/>
      <c r="C739" s="7"/>
      <c r="D739" s="6"/>
      <c r="E739" s="7"/>
      <c r="F739" s="7"/>
      <c r="G739" s="6"/>
      <c r="H739" s="7"/>
      <c r="I739" s="7"/>
      <c r="J739" s="7"/>
      <c r="K739" s="7"/>
      <c r="L739" s="6"/>
      <c r="M739" s="6"/>
      <c r="N739" s="7"/>
      <c r="O739" s="7"/>
      <c r="P739" s="2"/>
      <c r="Q739" s="2"/>
      <c r="R739" s="7"/>
      <c r="S739" s="13"/>
      <c r="T739" s="13"/>
      <c r="U739" s="8"/>
      <c r="V739" s="8"/>
      <c r="W739" s="8"/>
      <c r="X739" s="7"/>
      <c r="Y739" s="10"/>
      <c r="Z739" s="10"/>
      <c r="AA739" s="2"/>
      <c r="AB739" s="7"/>
      <c r="AC739" s="14"/>
      <c r="AE739" s="7"/>
      <c r="AG739" s="15"/>
      <c r="AJ739" s="2"/>
    </row>
    <row r="740" spans="1:36" s="12" customFormat="1" ht="13" x14ac:dyDescent="0.2">
      <c r="A740" s="15"/>
      <c r="B740" s="7"/>
      <c r="C740" s="7"/>
      <c r="D740" s="6"/>
      <c r="E740" s="7"/>
      <c r="F740" s="7"/>
      <c r="G740" s="6"/>
      <c r="H740" s="7"/>
      <c r="I740" s="7"/>
      <c r="J740" s="7"/>
      <c r="K740" s="7"/>
      <c r="L740" s="6"/>
      <c r="M740" s="6"/>
      <c r="N740" s="7"/>
      <c r="O740" s="7"/>
      <c r="P740" s="2"/>
      <c r="Q740" s="2"/>
      <c r="R740" s="7"/>
      <c r="S740" s="13"/>
      <c r="T740" s="13"/>
      <c r="U740" s="8"/>
      <c r="V740" s="8"/>
      <c r="W740" s="8"/>
      <c r="X740" s="7"/>
      <c r="Y740" s="10"/>
      <c r="Z740" s="10"/>
      <c r="AA740" s="2"/>
      <c r="AB740" s="7"/>
      <c r="AC740" s="14"/>
      <c r="AE740" s="7"/>
      <c r="AG740" s="15"/>
      <c r="AJ740" s="2"/>
    </row>
    <row r="741" spans="1:36" s="12" customFormat="1" ht="13" x14ac:dyDescent="0.2">
      <c r="A741" s="15"/>
      <c r="B741" s="7"/>
      <c r="C741" s="7"/>
      <c r="D741" s="13"/>
      <c r="E741" s="7"/>
      <c r="F741" s="7"/>
      <c r="G741" s="6"/>
      <c r="H741" s="7"/>
      <c r="I741" s="7"/>
      <c r="J741" s="7"/>
      <c r="K741" s="7"/>
      <c r="L741" s="6"/>
      <c r="M741" s="6"/>
      <c r="N741" s="7"/>
      <c r="O741" s="7"/>
      <c r="P741" s="2"/>
      <c r="Q741" s="2"/>
      <c r="R741" s="7"/>
      <c r="S741" s="13"/>
      <c r="T741" s="13"/>
      <c r="U741" s="8"/>
      <c r="V741" s="8"/>
      <c r="W741" s="8"/>
      <c r="X741" s="7"/>
      <c r="Y741" s="10"/>
      <c r="Z741" s="10"/>
      <c r="AA741" s="2"/>
      <c r="AB741" s="7"/>
      <c r="AC741" s="14"/>
      <c r="AE741" s="7"/>
      <c r="AG741" s="15"/>
      <c r="AJ741" s="2"/>
    </row>
    <row r="742" spans="1:36" s="12" customFormat="1" ht="13" x14ac:dyDescent="0.2">
      <c r="A742" s="15"/>
      <c r="B742" s="7"/>
      <c r="C742" s="7"/>
      <c r="D742" s="13"/>
      <c r="E742" s="7"/>
      <c r="F742" s="7"/>
      <c r="G742" s="6"/>
      <c r="H742" s="7"/>
      <c r="I742" s="7"/>
      <c r="J742" s="7"/>
      <c r="K742" s="7"/>
      <c r="L742" s="6"/>
      <c r="M742" s="6"/>
      <c r="N742" s="7"/>
      <c r="O742" s="7"/>
      <c r="P742" s="2"/>
      <c r="Q742" s="2"/>
      <c r="R742" s="7"/>
      <c r="S742" s="13"/>
      <c r="T742" s="13"/>
      <c r="U742" s="8"/>
      <c r="V742" s="8"/>
      <c r="W742" s="8"/>
      <c r="X742" s="7"/>
      <c r="Y742" s="10"/>
      <c r="Z742" s="10"/>
      <c r="AA742" s="2"/>
      <c r="AB742" s="7"/>
      <c r="AC742" s="14"/>
      <c r="AE742" s="7"/>
      <c r="AG742" s="15"/>
      <c r="AJ742" s="2"/>
    </row>
    <row r="743" spans="1:36" s="12" customFormat="1" ht="13" x14ac:dyDescent="0.2">
      <c r="A743" s="15"/>
      <c r="B743" s="7"/>
      <c r="C743" s="7"/>
      <c r="D743" s="6"/>
      <c r="E743" s="7"/>
      <c r="F743" s="7"/>
      <c r="G743" s="6"/>
      <c r="H743" s="7"/>
      <c r="I743" s="7"/>
      <c r="J743" s="7"/>
      <c r="K743" s="7"/>
      <c r="L743" s="6"/>
      <c r="M743" s="6"/>
      <c r="N743" s="7"/>
      <c r="O743" s="7"/>
      <c r="P743" s="2"/>
      <c r="Q743" s="2"/>
      <c r="R743" s="7"/>
      <c r="S743" s="13"/>
      <c r="T743" s="13"/>
      <c r="U743" s="8"/>
      <c r="V743" s="8"/>
      <c r="W743" s="8"/>
      <c r="X743" s="7"/>
      <c r="Y743" s="10"/>
      <c r="Z743" s="10"/>
      <c r="AA743" s="2"/>
      <c r="AB743" s="7"/>
      <c r="AC743" s="14"/>
      <c r="AE743" s="7"/>
      <c r="AG743" s="15"/>
      <c r="AJ743" s="2"/>
    </row>
    <row r="744" spans="1:36" s="12" customFormat="1" ht="13" x14ac:dyDescent="0.2">
      <c r="A744" s="15"/>
      <c r="B744" s="7"/>
      <c r="C744" s="7"/>
      <c r="D744" s="6"/>
      <c r="E744" s="7"/>
      <c r="F744" s="7"/>
      <c r="G744" s="6"/>
      <c r="H744" s="7"/>
      <c r="I744" s="7"/>
      <c r="J744" s="7"/>
      <c r="K744" s="7"/>
      <c r="L744" s="6"/>
      <c r="M744" s="6"/>
      <c r="N744" s="7"/>
      <c r="O744" s="7"/>
      <c r="P744" s="2"/>
      <c r="Q744" s="2"/>
      <c r="R744" s="7"/>
      <c r="S744" s="13"/>
      <c r="T744" s="13"/>
      <c r="U744" s="8"/>
      <c r="V744" s="8"/>
      <c r="W744" s="8"/>
      <c r="X744" s="7"/>
      <c r="Y744" s="10"/>
      <c r="Z744" s="10"/>
      <c r="AA744" s="2"/>
      <c r="AB744" s="7"/>
      <c r="AC744" s="14"/>
      <c r="AE744" s="7"/>
      <c r="AG744" s="15"/>
      <c r="AJ744" s="2"/>
    </row>
    <row r="745" spans="1:36" s="12" customFormat="1" ht="13" x14ac:dyDescent="0.2">
      <c r="A745" s="15"/>
      <c r="B745" s="9"/>
      <c r="C745" s="9"/>
      <c r="D745" s="6"/>
      <c r="E745" s="7"/>
      <c r="F745" s="7"/>
      <c r="G745" s="6"/>
      <c r="H745" s="7"/>
      <c r="I745" s="7"/>
      <c r="J745" s="7"/>
      <c r="K745" s="7"/>
      <c r="L745" s="13"/>
      <c r="M745" s="6"/>
      <c r="N745" s="7"/>
      <c r="O745" s="7"/>
      <c r="P745" s="2"/>
      <c r="Q745" s="2"/>
      <c r="R745" s="7"/>
      <c r="S745" s="13"/>
      <c r="T745" s="13"/>
      <c r="U745" s="8"/>
      <c r="V745" s="8"/>
      <c r="W745" s="8"/>
      <c r="X745" s="7"/>
      <c r="Y745" s="10"/>
      <c r="Z745" s="10"/>
      <c r="AA745" s="2"/>
      <c r="AB745" s="7"/>
      <c r="AC745" s="14"/>
      <c r="AE745" s="7"/>
      <c r="AG745" s="15"/>
      <c r="AJ745" s="2"/>
    </row>
    <row r="746" spans="1:36" s="12" customFormat="1" ht="13" x14ac:dyDescent="0.2">
      <c r="A746" s="15"/>
      <c r="B746" s="9"/>
      <c r="C746" s="9"/>
      <c r="D746" s="13"/>
      <c r="E746" s="7"/>
      <c r="F746" s="7"/>
      <c r="G746" s="6"/>
      <c r="H746" s="7"/>
      <c r="I746" s="7"/>
      <c r="J746" s="7"/>
      <c r="K746" s="7"/>
      <c r="L746" s="6"/>
      <c r="M746" s="13"/>
      <c r="N746" s="7"/>
      <c r="O746" s="7"/>
      <c r="P746" s="2"/>
      <c r="Q746" s="2"/>
      <c r="R746" s="7"/>
      <c r="S746" s="13"/>
      <c r="T746" s="13"/>
      <c r="U746" s="8"/>
      <c r="V746" s="8"/>
      <c r="W746" s="8"/>
      <c r="X746" s="7"/>
      <c r="Y746" s="10"/>
      <c r="Z746" s="10"/>
      <c r="AA746" s="2"/>
      <c r="AB746" s="7"/>
      <c r="AC746" s="14"/>
      <c r="AE746" s="7"/>
      <c r="AG746" s="15"/>
      <c r="AJ746" s="2"/>
    </row>
    <row r="747" spans="1:36" s="12" customFormat="1" ht="13" x14ac:dyDescent="0.2">
      <c r="A747" s="15"/>
      <c r="B747" s="9"/>
      <c r="C747" s="9"/>
      <c r="D747" s="6"/>
      <c r="E747" s="7"/>
      <c r="F747" s="7"/>
      <c r="G747" s="6"/>
      <c r="H747" s="7"/>
      <c r="I747" s="7"/>
      <c r="J747" s="7"/>
      <c r="K747" s="7"/>
      <c r="L747" s="6"/>
      <c r="M747" s="6"/>
      <c r="N747" s="7"/>
      <c r="O747" s="7"/>
      <c r="P747" s="2"/>
      <c r="Q747" s="2"/>
      <c r="R747" s="7"/>
      <c r="S747" s="13"/>
      <c r="T747" s="13"/>
      <c r="U747" s="8"/>
      <c r="V747" s="8"/>
      <c r="W747" s="8"/>
      <c r="X747" s="7"/>
      <c r="Y747" s="10"/>
      <c r="Z747" s="10"/>
      <c r="AA747" s="2"/>
      <c r="AB747" s="7"/>
      <c r="AC747" s="14"/>
      <c r="AE747" s="7"/>
      <c r="AG747" s="15"/>
      <c r="AJ747" s="2"/>
    </row>
    <row r="748" spans="1:36" s="12" customFormat="1" ht="13" x14ac:dyDescent="0.2">
      <c r="A748" s="15"/>
      <c r="B748" s="10"/>
      <c r="C748" s="10"/>
      <c r="D748" s="26"/>
      <c r="E748" s="10"/>
      <c r="F748" s="10"/>
      <c r="G748" s="26"/>
      <c r="H748" s="10"/>
      <c r="I748" s="10"/>
      <c r="J748" s="10"/>
      <c r="K748" s="10"/>
      <c r="L748" s="26"/>
      <c r="M748" s="26"/>
      <c r="N748" s="10"/>
      <c r="O748" s="10"/>
      <c r="P748" s="2"/>
      <c r="Q748" s="2"/>
      <c r="R748" s="7"/>
      <c r="S748" s="13"/>
      <c r="T748" s="13"/>
      <c r="U748" s="8"/>
      <c r="V748" s="8"/>
      <c r="W748" s="8"/>
      <c r="X748" s="7"/>
      <c r="Y748" s="10"/>
      <c r="Z748" s="10"/>
      <c r="AA748" s="2"/>
      <c r="AB748" s="7"/>
      <c r="AC748" s="14"/>
      <c r="AE748" s="7"/>
      <c r="AG748" s="15"/>
      <c r="AJ748" s="2"/>
    </row>
    <row r="749" spans="1:36" s="12" customFormat="1" ht="13" x14ac:dyDescent="0.2">
      <c r="A749" s="15"/>
      <c r="B749" s="10"/>
      <c r="C749" s="10"/>
      <c r="D749" s="26"/>
      <c r="E749" s="10"/>
      <c r="F749" s="10"/>
      <c r="G749" s="26"/>
      <c r="H749" s="10"/>
      <c r="I749" s="10"/>
      <c r="J749" s="10"/>
      <c r="K749" s="10"/>
      <c r="L749" s="26"/>
      <c r="M749" s="26"/>
      <c r="N749" s="10"/>
      <c r="O749" s="10"/>
      <c r="P749" s="2"/>
      <c r="Q749" s="2"/>
      <c r="R749" s="7"/>
      <c r="S749" s="13"/>
      <c r="T749" s="13"/>
      <c r="U749" s="8"/>
      <c r="V749" s="8"/>
      <c r="W749" s="8"/>
      <c r="X749" s="7"/>
      <c r="Y749" s="10"/>
      <c r="Z749" s="10"/>
      <c r="AA749" s="2"/>
      <c r="AB749" s="7"/>
      <c r="AC749" s="14"/>
      <c r="AE749" s="7"/>
      <c r="AG749" s="15"/>
      <c r="AJ749" s="2"/>
    </row>
    <row r="750" spans="1:36" s="12" customFormat="1" ht="13" x14ac:dyDescent="0.2">
      <c r="A750" s="15"/>
      <c r="B750" s="10"/>
      <c r="C750" s="10"/>
      <c r="D750" s="26"/>
      <c r="E750" s="10"/>
      <c r="F750" s="10"/>
      <c r="G750" s="26"/>
      <c r="H750" s="10"/>
      <c r="I750" s="10"/>
      <c r="J750" s="10"/>
      <c r="K750" s="10"/>
      <c r="L750" s="26"/>
      <c r="M750" s="26"/>
      <c r="N750" s="10"/>
      <c r="O750" s="10"/>
      <c r="P750" s="2"/>
      <c r="Q750" s="2"/>
      <c r="R750" s="7"/>
      <c r="S750" s="13"/>
      <c r="T750" s="13"/>
      <c r="U750" s="8"/>
      <c r="V750" s="8"/>
      <c r="W750" s="8"/>
      <c r="X750" s="7"/>
      <c r="Y750" s="10"/>
      <c r="Z750" s="10"/>
      <c r="AA750" s="2"/>
      <c r="AB750" s="7"/>
      <c r="AC750" s="14"/>
      <c r="AE750" s="7"/>
      <c r="AG750" s="15"/>
      <c r="AJ750" s="2"/>
    </row>
    <row r="751" spans="1:36" s="12" customFormat="1" ht="13" x14ac:dyDescent="0.2">
      <c r="B751" s="10"/>
      <c r="C751" s="10"/>
      <c r="D751" s="26"/>
      <c r="E751" s="10"/>
      <c r="F751" s="10"/>
      <c r="G751" s="26"/>
      <c r="H751" s="10"/>
      <c r="I751" s="10"/>
      <c r="J751" s="10"/>
      <c r="K751" s="10"/>
      <c r="L751" s="26"/>
      <c r="M751" s="26"/>
      <c r="N751" s="10"/>
      <c r="O751" s="10"/>
      <c r="P751" s="2"/>
      <c r="Q751" s="2"/>
      <c r="R751" s="7"/>
      <c r="S751" s="13"/>
      <c r="T751" s="13"/>
      <c r="U751" s="8"/>
      <c r="V751" s="8"/>
      <c r="W751" s="8"/>
      <c r="X751" s="7"/>
      <c r="Y751" s="10"/>
      <c r="Z751" s="10"/>
      <c r="AA751" s="2"/>
      <c r="AB751" s="7"/>
      <c r="AC751" s="14"/>
      <c r="AE751" s="7"/>
      <c r="AG751" s="15"/>
      <c r="AJ751" s="2"/>
    </row>
    <row r="752" spans="1:36" s="12" customFormat="1" ht="13" x14ac:dyDescent="0.2">
      <c r="B752" s="10"/>
      <c r="C752" s="10"/>
      <c r="D752" s="26"/>
      <c r="E752" s="10"/>
      <c r="F752" s="10"/>
      <c r="G752" s="26"/>
      <c r="H752" s="10"/>
      <c r="I752" s="10"/>
      <c r="J752" s="10"/>
      <c r="K752" s="10"/>
      <c r="L752" s="26"/>
      <c r="M752" s="26"/>
      <c r="N752" s="10"/>
      <c r="O752" s="10"/>
      <c r="P752" s="2"/>
      <c r="Q752" s="2"/>
      <c r="R752" s="7"/>
      <c r="S752" s="13"/>
      <c r="T752" s="13"/>
      <c r="U752" s="8"/>
      <c r="V752" s="8"/>
      <c r="W752" s="8"/>
      <c r="X752" s="7"/>
      <c r="Y752" s="10"/>
      <c r="Z752" s="10"/>
      <c r="AA752" s="2"/>
      <c r="AB752" s="7"/>
      <c r="AC752" s="14"/>
      <c r="AE752" s="7"/>
      <c r="AG752" s="15"/>
      <c r="AJ752" s="2"/>
    </row>
    <row r="753" spans="2:36" s="12" customFormat="1" ht="13" x14ac:dyDescent="0.2">
      <c r="B753" s="10"/>
      <c r="C753" s="10"/>
      <c r="D753" s="26"/>
      <c r="E753" s="10"/>
      <c r="F753" s="10"/>
      <c r="G753" s="26"/>
      <c r="H753" s="10"/>
      <c r="I753" s="10"/>
      <c r="J753" s="10"/>
      <c r="K753" s="10"/>
      <c r="L753" s="26"/>
      <c r="M753" s="26"/>
      <c r="N753" s="10"/>
      <c r="O753" s="10"/>
      <c r="P753" s="2"/>
      <c r="Q753" s="2"/>
      <c r="R753" s="7"/>
      <c r="S753" s="13"/>
      <c r="T753" s="13"/>
      <c r="U753" s="8"/>
      <c r="V753" s="8"/>
      <c r="W753" s="8"/>
      <c r="X753" s="7"/>
      <c r="Y753" s="10"/>
      <c r="Z753" s="10"/>
      <c r="AA753" s="2"/>
      <c r="AB753" s="7"/>
      <c r="AC753" s="14"/>
      <c r="AE753" s="7"/>
      <c r="AG753" s="15"/>
      <c r="AJ753" s="2"/>
    </row>
    <row r="754" spans="2:36" s="12" customFormat="1" ht="13" x14ac:dyDescent="0.2">
      <c r="B754" s="10"/>
      <c r="C754" s="10"/>
      <c r="D754" s="26"/>
      <c r="E754" s="10"/>
      <c r="F754" s="10"/>
      <c r="G754" s="26"/>
      <c r="H754" s="10"/>
      <c r="I754" s="10"/>
      <c r="J754" s="10"/>
      <c r="K754" s="10"/>
      <c r="L754" s="26"/>
      <c r="M754" s="26"/>
      <c r="N754" s="10"/>
      <c r="O754" s="10"/>
      <c r="P754" s="2"/>
      <c r="Q754" s="2"/>
      <c r="R754" s="7"/>
      <c r="S754" s="13"/>
      <c r="T754" s="13"/>
      <c r="U754" s="8"/>
      <c r="V754" s="8"/>
      <c r="W754" s="8"/>
      <c r="X754" s="7"/>
      <c r="Y754" s="10"/>
      <c r="Z754" s="10"/>
      <c r="AA754" s="2"/>
      <c r="AB754" s="7"/>
      <c r="AC754" s="14"/>
      <c r="AE754" s="7"/>
      <c r="AG754" s="15"/>
      <c r="AJ754" s="2"/>
    </row>
    <row r="755" spans="2:36" s="12" customFormat="1" ht="13" x14ac:dyDescent="0.2">
      <c r="B755" s="10"/>
      <c r="C755" s="10"/>
      <c r="D755" s="26"/>
      <c r="E755" s="10"/>
      <c r="F755" s="10"/>
      <c r="G755" s="26"/>
      <c r="H755" s="10"/>
      <c r="I755" s="10"/>
      <c r="J755" s="10"/>
      <c r="K755" s="10"/>
      <c r="L755" s="26"/>
      <c r="M755" s="26"/>
      <c r="N755" s="10"/>
      <c r="O755" s="10"/>
      <c r="P755" s="2"/>
      <c r="Q755" s="2"/>
      <c r="R755" s="7"/>
      <c r="S755" s="13"/>
      <c r="T755" s="13"/>
      <c r="U755" s="8"/>
      <c r="V755" s="8"/>
      <c r="W755" s="8"/>
      <c r="X755" s="7"/>
      <c r="Y755" s="10"/>
      <c r="Z755" s="10"/>
      <c r="AA755" s="2"/>
      <c r="AB755" s="7"/>
      <c r="AC755" s="14"/>
      <c r="AE755" s="7"/>
      <c r="AG755" s="15"/>
      <c r="AJ755" s="2"/>
    </row>
    <row r="756" spans="2:36" s="12" customFormat="1" ht="13" x14ac:dyDescent="0.2">
      <c r="B756" s="10"/>
      <c r="C756" s="10"/>
      <c r="D756" s="26"/>
      <c r="E756" s="10"/>
      <c r="F756" s="10"/>
      <c r="G756" s="26"/>
      <c r="H756" s="10"/>
      <c r="I756" s="10"/>
      <c r="J756" s="10"/>
      <c r="K756" s="10"/>
      <c r="L756" s="26"/>
      <c r="M756" s="26"/>
      <c r="N756" s="10"/>
      <c r="O756" s="10"/>
      <c r="P756" s="2"/>
      <c r="Q756" s="2"/>
      <c r="R756" s="7"/>
      <c r="S756" s="13"/>
      <c r="T756" s="13"/>
      <c r="U756" s="8"/>
      <c r="V756" s="8"/>
      <c r="W756" s="8"/>
      <c r="X756" s="7"/>
      <c r="Y756" s="10"/>
      <c r="Z756" s="10"/>
      <c r="AA756" s="2"/>
      <c r="AB756" s="7"/>
      <c r="AC756" s="14"/>
      <c r="AE756" s="7"/>
      <c r="AG756" s="15"/>
      <c r="AJ756" s="2"/>
    </row>
    <row r="757" spans="2:36" s="12" customFormat="1" ht="13" x14ac:dyDescent="0.2">
      <c r="B757" s="10"/>
      <c r="C757" s="10"/>
      <c r="D757" s="26"/>
      <c r="E757" s="10"/>
      <c r="F757" s="10"/>
      <c r="G757" s="26"/>
      <c r="H757" s="10"/>
      <c r="I757" s="10"/>
      <c r="J757" s="10"/>
      <c r="K757" s="10"/>
      <c r="L757" s="26"/>
      <c r="M757" s="26"/>
      <c r="N757" s="10"/>
      <c r="O757" s="10"/>
      <c r="P757" s="2"/>
      <c r="Q757" s="2"/>
      <c r="R757" s="7"/>
      <c r="S757" s="13"/>
      <c r="T757" s="13"/>
      <c r="U757" s="8"/>
      <c r="V757" s="8"/>
      <c r="W757" s="8"/>
      <c r="X757" s="7"/>
      <c r="Y757" s="10"/>
      <c r="Z757" s="10"/>
      <c r="AA757" s="2"/>
      <c r="AB757" s="7"/>
      <c r="AC757" s="14"/>
      <c r="AE757" s="7"/>
      <c r="AG757" s="15"/>
      <c r="AJ757" s="2"/>
    </row>
    <row r="758" spans="2:36" s="12" customFormat="1" ht="13" x14ac:dyDescent="0.2">
      <c r="B758" s="10"/>
      <c r="C758" s="10"/>
      <c r="D758" s="26"/>
      <c r="E758" s="10"/>
      <c r="F758" s="10"/>
      <c r="G758" s="26"/>
      <c r="H758" s="10"/>
      <c r="I758" s="10"/>
      <c r="J758" s="10"/>
      <c r="K758" s="10"/>
      <c r="L758" s="26"/>
      <c r="M758" s="26"/>
      <c r="N758" s="10"/>
      <c r="O758" s="10"/>
      <c r="P758" s="2"/>
      <c r="Q758" s="2"/>
      <c r="R758" s="7"/>
      <c r="S758" s="13"/>
      <c r="T758" s="13"/>
      <c r="U758" s="8"/>
      <c r="V758" s="8"/>
      <c r="W758" s="8"/>
      <c r="X758" s="7"/>
      <c r="Y758" s="10"/>
      <c r="Z758" s="10"/>
      <c r="AA758" s="2"/>
      <c r="AB758" s="7"/>
      <c r="AC758" s="14"/>
      <c r="AE758" s="7"/>
      <c r="AG758" s="15"/>
      <c r="AJ758" s="2"/>
    </row>
    <row r="759" spans="2:36" s="12" customFormat="1" ht="13" x14ac:dyDescent="0.2">
      <c r="B759" s="10"/>
      <c r="C759" s="10"/>
      <c r="D759" s="26"/>
      <c r="E759" s="10"/>
      <c r="F759" s="10"/>
      <c r="G759" s="26"/>
      <c r="H759" s="10"/>
      <c r="I759" s="10"/>
      <c r="J759" s="10"/>
      <c r="K759" s="10"/>
      <c r="L759" s="26"/>
      <c r="M759" s="26"/>
      <c r="N759" s="10"/>
      <c r="O759" s="10"/>
      <c r="P759" s="2"/>
      <c r="Q759" s="2"/>
      <c r="R759" s="7"/>
      <c r="S759" s="13"/>
      <c r="T759" s="13"/>
      <c r="U759" s="8"/>
      <c r="V759" s="8"/>
      <c r="W759" s="8"/>
      <c r="X759" s="7"/>
      <c r="Y759" s="10"/>
      <c r="Z759" s="10"/>
      <c r="AA759" s="2"/>
      <c r="AB759" s="7"/>
      <c r="AC759" s="14"/>
      <c r="AE759" s="7"/>
      <c r="AG759" s="15"/>
      <c r="AJ759" s="2"/>
    </row>
  </sheetData>
  <sortState xmlns:xlrd2="http://schemas.microsoft.com/office/spreadsheetml/2017/richdata2" ref="A4:AH759">
    <sortCondition ref="R4:R759"/>
  </sortState>
  <mergeCells count="3">
    <mergeCell ref="B2:C2"/>
    <mergeCell ref="H2:I2"/>
    <mergeCell ref="A1:AA1"/>
  </mergeCells>
  <hyperlinks>
    <hyperlink ref="AC213" location="'Table 20'!A41" display="bookmark49" xr:uid="{96BCABB1-168F-B147-9BC0-9F2876ED60AF}"/>
    <hyperlink ref="AC53" location="'Table 20'!A41" display="bookmark49" xr:uid="{CC176C35-7108-C84C-A9A9-6C206B9D3E96}"/>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S2</vt:lpstr>
      <vt:lpstr>'Table S2'!_FilterDatabase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Vaes, B. (Bram)</dc:creator>
  <cp:lastModifiedBy>Diego A Osorio Afanador</cp:lastModifiedBy>
  <dcterms:created xsi:type="dcterms:W3CDTF">2023-01-13T11:00:08Z</dcterms:created>
  <dcterms:modified xsi:type="dcterms:W3CDTF">2025-11-07T17:24:27Z</dcterms:modified>
</cp:coreProperties>
</file>